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🏛️ Cover &amp; Guide" sheetId="1" state="visible" r:id="rId3"/>
    <sheet name="📋 EU Taxonomy Framework" sheetId="2" state="visible" r:id="rId4"/>
    <sheet name="💰 VMC Budget → EU Taxonomy" sheetId="3" state="visible" r:id="rId5"/>
    <sheet name="🔬 TSC + DNSH Screening" sheetId="4" state="visible" r:id="rId6"/>
    <sheet name="💼 Finance Availability" sheetId="5" state="visible" r:id="rId7"/>
    <sheet name="📊 Capital Stack Builder" sheetId="6" state="visible" r:id="rId8"/>
    <sheet name="🎯 Gap &amp; Action Pl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<sst xmlns="http://schemas.openxmlformats.org/spreadsheetml/2006/main" count="1060" uniqueCount="795">
  <si>
    <t xml:space="preserve">EU TAXONOMY FOR SUSTAINABLE ACTIVITIES
BUDGET MAPPING &amp; CLIMATE FINANCE TOOL</t>
  </si>
  <si>
    <t xml:space="preserve">Case Study: Vadodara Municipal Corporation (VMC) | India Adaptation &amp; Resilience Finance</t>
  </si>
  <si>
    <t xml:space="preserve">Aligned with EU Taxonomy Regulation (2020/852) | Climate Change Adaptation Objective | Do No Significant Harm (DNSH) | Minimum Social Safeguards</t>
  </si>
  <si>
    <t xml:space="preserve">★</t>
  </si>
  <si>
    <t xml:space="preserve">ABOUT THIS TOOL</t>
  </si>
  <si>
    <t xml:space="preserve">WHAT IS EU TAXONOMY?</t>
  </si>
  <si>
    <t xml:space="preserve">The EU Taxonomy is a science-based classification system establishing criteria for environmentally sustainable economic activities under 6 environmental objectives. For India municipal bodies, it provides a globally recognised benchmark for climate finance alignment and access to EU/international capital.</t>
  </si>
  <si>
    <t xml:space="preserve">6 ENVIRONMENTAL OBJECTIVES</t>
  </si>
  <si>
    <t xml:space="preserve">1. Climate Change Mitigation  |  2. Climate Change Adaptation  |  3. Sustainable Use of Water &amp; Marine Resources  |  4. Transition to Circular Economy  |  5. Pollution Prevention &amp; Control  |  6. Biodiversity &amp; Ecosystem Protection</t>
  </si>
  <si>
    <t xml:space="preserve">KEY PRINCIPLES — TSC + DNSH + MSS</t>
  </si>
  <si>
    <t xml:space="preserve">Each activity must: (A) Substantially Contribute to ≥1 objective [TSC], (B) Do No Significant Harm to the other 5 objectives [DNSH], and (C) Meet Minimum Social Safeguards (ILO core labour standards) [MSS].</t>
  </si>
  <si>
    <t xml:space="preserve">INDIA RELEVANCE</t>
  </si>
  <si>
    <t xml:space="preserve">India's national climate finance taxonomy (MoF, 2024) is aligned with EU Taxonomy principles. VMC's Blue Bond (₹200 Cr) and planned resilience investments can be benchmarked against EU Taxonomy to attract European DFIs, green bond investors, and SFDR-compliant funds.</t>
  </si>
  <si>
    <t xml:space="preserve">HOW TO USE THIS TOOL</t>
  </si>
  <si>
    <t xml:space="preserve">Sheet 2: EU Taxonomy reference framework | Sheet 3: VMC budget mapped to EU Taxonomy | Sheet 4: TSC + DNSH screening template | Sheet 5: Finance Availability &amp; Capital Mobilisation | Sheet 6: Investor-Ready Summary | Sheet 7: Gap &amp; Action Plan</t>
  </si>
  <si>
    <t xml:space="preserve">WORKBOOK NAVIGATION</t>
  </si>
  <si>
    <t xml:space="preserve">Sheet</t>
  </si>
  <si>
    <t xml:space="preserve">Name</t>
  </si>
  <si>
    <t xml:space="preserve">Content</t>
  </si>
  <si>
    <t xml:space="preserve">Key Output</t>
  </si>
  <si>
    <t xml:space="preserve">Linked Sheets</t>
  </si>
  <si>
    <t xml:space="preserve">1</t>
  </si>
  <si>
    <t xml:space="preserve">🏛️ Cover &amp; Guide</t>
  </si>
  <si>
    <t xml:space="preserve">Overview, principles, navigation, EU Taxonomy objectives</t>
  </si>
  <si>
    <t xml:space="preserve">Orientation</t>
  </si>
  <si>
    <t xml:space="preserve">All</t>
  </si>
  <si>
    <t xml:space="preserve">2</t>
  </si>
  <si>
    <t xml:space="preserve">📋 EU Taxonomy Framework</t>
  </si>
  <si>
    <t xml:space="preserve">All 6 objectives, TSC criteria, DNSH matrix, India-relevant activities</t>
  </si>
  <si>
    <t xml:space="preserve">Reference library</t>
  </si>
  <si>
    <t xml:space="preserve">3,4</t>
  </si>
  <si>
    <t xml:space="preserve">3</t>
  </si>
  <si>
    <t xml:space="preserve">💰 VMC Budget → EU Taxonomy</t>
  </si>
  <si>
    <t xml:space="preserve">Each VMC budget line mapped to EU Taxonomy objective, activity code, and TSC summary</t>
  </si>
  <si>
    <t xml:space="preserve">Core mapping</t>
  </si>
  <si>
    <t xml:space="preserve">4,5</t>
  </si>
  <si>
    <t xml:space="preserve">4</t>
  </si>
  <si>
    <t xml:space="preserve">🔬 TSC + DNSH Screening</t>
  </si>
  <si>
    <t xml:space="preserve">Detailed technical screening criteria template per activity with DNSH flags</t>
  </si>
  <si>
    <t xml:space="preserve">Compliance output</t>
  </si>
  <si>
    <t xml:space="preserve">3,6</t>
  </si>
  <si>
    <t xml:space="preserve">5</t>
  </si>
  <si>
    <t xml:space="preserve">💼 Finance Availability</t>
  </si>
  <si>
    <t xml:space="preserve">Named financial instruments, fund managers, DFIs, govt schemes available per sector</t>
  </si>
  <si>
    <t xml:space="preserve">Capital mobilisation</t>
  </si>
  <si>
    <t xml:space="preserve">6</t>
  </si>
  <si>
    <t xml:space="preserve">📊 Capital Stack Builder</t>
  </si>
  <si>
    <t xml:space="preserve">Project-level capital stack: grant + concessional + commercial + bond per project</t>
  </si>
  <si>
    <t xml:space="preserve">Investor pitch ready</t>
  </si>
  <si>
    <t xml:space="preserve">7</t>
  </si>
  <si>
    <t xml:space="preserve">🎯 Gap &amp; Action Plan</t>
  </si>
  <si>
    <t xml:space="preserve">Gaps in EU Taxonomy alignment, priority actions, roadmap to EU-aligned bond issuance</t>
  </si>
  <si>
    <t xml:space="preserve">Strategic roadmap</t>
  </si>
  <si>
    <t xml:space="preserve">EU TAXONOMY — 6 ENVIRONMENTAL OBJECTIVES OVERVIEW</t>
  </si>
  <si>
    <t xml:space="preserve">OBJ 1</t>
  </si>
  <si>
    <t xml:space="preserve">Climate Change
Mitigation</t>
  </si>
  <si>
    <t xml:space="preserve">Activities that prevent or reduce GHG emissions (renewable energy, EE buildings, low-carbon transport)</t>
  </si>
  <si>
    <t xml:space="preserve">OBJ 2</t>
  </si>
  <si>
    <t xml:space="preserve">Climate Change
Adaptation</t>
  </si>
  <si>
    <t xml:space="preserve">Activities that reduce physical climate risks (flood defence, resilient infra, NbS, early warning) — PRIMARY OBJECTIVE FOR VMC</t>
  </si>
  <si>
    <t xml:space="preserve">OBJ 3</t>
  </si>
  <si>
    <t xml:space="preserve">Water &amp; Marine
Resources</t>
  </si>
  <si>
    <t xml:space="preserve">Sustainable water use, wastewater treatment, water supply security, freshwater ecosystem protection</t>
  </si>
  <si>
    <t xml:space="preserve">OBJ 4</t>
  </si>
  <si>
    <t xml:space="preserve">Circular
Economy</t>
  </si>
  <si>
    <t xml:space="preserve">Waste reduction, recycling, reuse, repair — covers SWM and industrial symbiosis</t>
  </si>
  <si>
    <t xml:space="preserve">OBJ 5</t>
  </si>
  <si>
    <t xml:space="preserve">Pollution
Prevention</t>
  </si>
  <si>
    <t xml:space="preserve">Reducing air, water, soil pollution; hazardous substances management; pollution monitoring systems</t>
  </si>
  <si>
    <t xml:space="preserve">OBJ 6</t>
  </si>
  <si>
    <t xml:space="preserve">Biodiversity &amp;
Ecosystems</t>
  </si>
  <si>
    <t xml:space="preserve">Protection and restoration of ecosystems, habitats, species — covers urban greening and riverfront restoration</t>
  </si>
  <si>
    <t xml:space="preserve">EU TAXONOMY FRAMEWORK — TECHNICAL SCREENING CRITERIA (TSC) REFERENCE</t>
  </si>
  <si>
    <t xml:space="preserve">Source: EU Taxonomy Regulation 2020/852 | Delegated Acts 2021/2139 (Climate) | Climate Adaptation Annex | India-contextualised for Municipal Applications</t>
  </si>
  <si>
    <t xml:space="preserve">Act.
Code</t>
  </si>
  <si>
    <t xml:space="preserve">EU Taxonomy Activity</t>
  </si>
  <si>
    <t xml:space="preserve">Substantial Contribution
Criteria (TSC Summary)</t>
  </si>
  <si>
    <t xml:space="preserve">DNSH Key Tests</t>
  </si>
  <si>
    <t xml:space="preserve">India Municipal
Application</t>
  </si>
  <si>
    <t xml:space="preserve">Relevant
Objectives</t>
  </si>
  <si>
    <t xml:space="preserve">VMC Applicability</t>
  </si>
  <si>
    <t xml:space="preserve">Annex
Ref</t>
  </si>
  <si>
    <t xml:space="preserve">CCM 4.1</t>
  </si>
  <si>
    <t xml:space="preserve">Electricity generation from solar PV</t>
  </si>
  <si>
    <t xml:space="preserve">Generate electricity from solar; demonstrate GHG intensity &lt;100gCO₂e/kWh over lifecycle; grid-connected or off-grid</t>
  </si>
  <si>
    <t xml:space="preserve">No significant harm to water (dry cooling); land use biodiversity assessment; end-of-life panel recycling plan</t>
  </si>
  <si>
    <t xml:space="preserve">VMC 20MW rooftop solar programme; Municipal building solar; DU solar campus</t>
  </si>
  <si>
    <t xml:space="preserve">OBJ 1 (Primary), OBJ 2</t>
  </si>
  <si>
    <t xml:space="preserve">✅ VMC 20MW programme</t>
  </si>
  <si>
    <t xml:space="preserve">Annex I, Sec 4.1</t>
  </si>
  <si>
    <t xml:space="preserve">CCA 5.1</t>
  </si>
  <si>
    <t xml:space="preserve">Construction, extension &amp; operation of water collection infrastructure</t>
  </si>
  <si>
    <t xml:space="preserve">Risk assessment of physical climate risk mandatory; infrastructure designed to withstand projected climate conditions (2050 horizon); adaptation plan documented</t>
  </si>
  <si>
    <t xml:space="preserve">OBJ1: No lock-in of high-GHG assets; OBJ3: No over-extraction; OBJ6: No habitat destruction</t>
  </si>
  <si>
    <t xml:space="preserve">VMC water supply expansion; rainwater harvesting; Ajwa/Pratapura lake restoration; school borewells</t>
  </si>
  <si>
    <t xml:space="preserve">OBJ 2 (Primary), OBJ 3</t>
  </si>
  <si>
    <t xml:space="preserve">✅ Water supply &amp; harvesting</t>
  </si>
  <si>
    <t xml:space="preserve">Annex II, Sec 5.1</t>
  </si>
  <si>
    <t xml:space="preserve">CCA 5.2</t>
  </si>
  <si>
    <t xml:space="preserve">Renewal of water collection, treatment &amp; supply systems</t>
  </si>
  <si>
    <t xml:space="preserve">Physical Climate Risk Assessment (PCRA) required; systems upgraded to withstand projected climate hazards; energy efficiency improvement &gt;20%</t>
  </si>
  <si>
    <t xml:space="preserve">OBJ3: No aquifer depletion; OBJ5: No increase in chemical discharge; OBJ1: Energy efficiency improvement required</t>
  </si>
  <si>
    <t xml:space="preserve">VMC STP upgrades; West zone sewage repair; water treatment modernisation</t>
  </si>
  <si>
    <t xml:space="preserve">✅ STP &amp; sewage upgrades</t>
  </si>
  <si>
    <t xml:space="preserve">Annex II, Sec 5.2</t>
  </si>
  <si>
    <t xml:space="preserve">CCA 6.15</t>
  </si>
  <si>
    <t xml:space="preserve">Flood and coastal risk protection infrastructure</t>
  </si>
  <si>
    <t xml:space="preserve">PCRA of climate hazard is mandatory; demonstrates reduction in expected annual damage (EAD) or affected population; NbS preferred where feasible</t>
  </si>
  <si>
    <t xml:space="preserve">OBJ6: NbS components preferred; no permanent destruction of floodplain habitats; downstream flow not significantly altered</t>
  </si>
  <si>
    <t xml:space="preserve">Vishwamitri flood control; stormwater drainage; river dredging; flood barriers; Vadodara flood EWS</t>
  </si>
  <si>
    <t xml:space="preserve">OBJ 2 (Primary), OBJ 6</t>
  </si>
  <si>
    <t xml:space="preserve">✅ Vishwamitri &amp; drainage</t>
  </si>
  <si>
    <t xml:space="preserve">Annex II, Sec 6.15</t>
  </si>
  <si>
    <t xml:space="preserve">CCA 6.13</t>
  </si>
  <si>
    <t xml:space="preserve">Production of renewable energy</t>
  </si>
  <si>
    <t xml:space="preserve">Energy resilience under adaptation objective; backup solar + storage for critical services; PCRA for energy system disruption</t>
  </si>
  <si>
    <t xml:space="preserve">OBJ1: Must not lock in fossil fuels; lifecycle GHG &lt;100gCO₂e/kWh; land use impact assessment</t>
  </si>
  <si>
    <t xml:space="preserve">VMC solar + battery backup for health centres, drainage pumps; resilient grid for emergency services</t>
  </si>
  <si>
    <t xml:space="preserve">OBJ 2, OBJ 1</t>
  </si>
  <si>
    <t xml:space="preserve">✅ Backup power programme</t>
  </si>
  <si>
    <t xml:space="preserve">Annex II, Sec 6.13</t>
  </si>
  <si>
    <t xml:space="preserve">CCA 6.5</t>
  </si>
  <si>
    <t xml:space="preserve">Construction of new buildings (climate-resilient)</t>
  </si>
  <si>
    <t xml:space="preserve">Buildings designed using PCRA; climate-proofed against local hazards (flooding, heat, wind); energy performance &gt;NZEB standard</t>
  </si>
  <si>
    <t xml:space="preserve">OBJ1: Nearly Zero Energy Building standard; OBJ6: No significant biodiversity impact; OBJ5: Low-emission materials</t>
  </si>
  <si>
    <t xml:space="preserve">Climate-resilient health centres; flood shelters; new VMC headquarters (climate-proof design); school infrastructure</t>
  </si>
  <si>
    <t xml:space="preserve">OBJ 2 (Primary), OBJ 1</t>
  </si>
  <si>
    <t xml:space="preserve">⚡ Partial – PHC &amp; shelters</t>
  </si>
  <si>
    <t xml:space="preserve">Annex II, Sec 6.5</t>
  </si>
  <si>
    <t xml:space="preserve">CCA 6.7</t>
  </si>
  <si>
    <t xml:space="preserve">Installation, maintenance of energy efficiency equipment</t>
  </si>
  <si>
    <t xml:space="preserve">Reduces energy consumption in infrastructure; improves resilience to energy disruption; LED or equivalent efficiency standard</t>
  </si>
  <si>
    <t xml:space="preserve">OBJ1: Energy savings documented; OBJ5: No increase in light pollution; end-of-life disposal plan for LED</t>
  </si>
  <si>
    <t xml:space="preserve">VMC LED street lighting (20,000+ fittings); energy audit programme; BEE star-rated municipal buildings</t>
  </si>
  <si>
    <t xml:space="preserve">✅ LED street lighting</t>
  </si>
  <si>
    <t xml:space="preserve">Annex II, Sec 6.7</t>
  </si>
  <si>
    <t xml:space="preserve">CCA 7.1</t>
  </si>
  <si>
    <t xml:space="preserve">Freight transport by road (last mile – EV/NMT)</t>
  </si>
  <si>
    <t xml:space="preserve">Low-emission last-mile and NMT infrastructure; reduces exposure to heat and flooding for pedestrians; cycle paths</t>
  </si>
  <si>
    <t xml:space="preserve">OBJ1: Zero/low emission vehicles only; OBJ5: Noise and air quality compliance; OBJ6: No fragmentation of urban green corridors</t>
  </si>
  <si>
    <t xml:space="preserve">Non-motorised transport lanes; pedestrian pathways; climate-resilient footpaths in flood-prone zones</t>
  </si>
  <si>
    <t xml:space="preserve">✅ NMT &amp; footpaths</t>
  </si>
  <si>
    <t xml:space="preserve">Annex II, Sec 7.1</t>
  </si>
  <si>
    <t xml:space="preserve">CCA 9.1</t>
  </si>
  <si>
    <t xml:space="preserve">Close to nature tourism and outdoor recreation – Ecosystem restoration</t>
  </si>
  <si>
    <t xml:space="preserve">Restoration of natural ecosystems; urban NbS; biodiversity protection; green infrastructure that reduces climate risk</t>
  </si>
  <si>
    <t xml:space="preserve">OBJ6: IUCN NbS standards; net biodiversity gain; no invasive species; OBJ3: No freshwater depletion; OBJ2: Documented climate risk reduction</t>
  </si>
  <si>
    <t xml:space="preserve">Urban greening (7.2 lakh trees); Vishwamitri riverfront park; canal-front restoration; Ajwa lake park</t>
  </si>
  <si>
    <t xml:space="preserve">OBJ 6 (Primary), OBJ 2</t>
  </si>
  <si>
    <t xml:space="preserve">✅ Urban greening &amp; riverfront</t>
  </si>
  <si>
    <t xml:space="preserve">Annex I/II, Sec 9.1</t>
  </si>
  <si>
    <t xml:space="preserve">CCM 1.1</t>
  </si>
  <si>
    <t xml:space="preserve">Afforestation / Reforestation</t>
  </si>
  <si>
    <t xml:space="preserve">Net removal of CO₂; urban forest sequestration measurable; tree planting with verified survival rates &gt;70%</t>
  </si>
  <si>
    <t xml:space="preserve">OBJ6: Use native species only; no drainage of peatlands; OBJ3: No freshwater competition; fire management plan</t>
  </si>
  <si>
    <t xml:space="preserve">VMC green cover expansion 17%→21%; 7.2 lakh tree plantation; green belt development</t>
  </si>
  <si>
    <t xml:space="preserve">OBJ 1, OBJ 6</t>
  </si>
  <si>
    <t xml:space="preserve">✅ Green cover programme</t>
  </si>
  <si>
    <t xml:space="preserve">Annex I, Sec 1.1</t>
  </si>
  <si>
    <t xml:space="preserve">CCA 8.1</t>
  </si>
  <si>
    <t xml:space="preserve">Human health services – climate resilience</t>
  </si>
  <si>
    <t xml:space="preserve">Health infrastructure PCRA mandatory; demonstrates adaptation to heat, flood, vector disease; early warning for climate-health nexus</t>
  </si>
  <si>
    <t xml:space="preserve">OBJ5: Medical waste management compliant; OBJ3: Water stewardship in hospitals; OBJ1: Energy efficiency in health buildings</t>
  </si>
  <si>
    <t xml:space="preserve">PHC upgrades; SSG hospital resilience; vector control; climate-health early warning in Vadodara</t>
  </si>
  <si>
    <t xml:space="preserve">OBJ 2 (Primary), OBJ 5</t>
  </si>
  <si>
    <t xml:space="preserve">✅ PHC + vector control</t>
  </si>
  <si>
    <t xml:space="preserve">Annex II, Sec 8.1</t>
  </si>
  <si>
    <t xml:space="preserve">CCA 6.14</t>
  </si>
  <si>
    <t xml:space="preserve">Transmission &amp; distribution of electricity (resilience)</t>
  </si>
  <si>
    <t xml:space="preserve">Grid resilience to climate hazards; smart grid with climate-informed load management; redundancy for critical services</t>
  </si>
  <si>
    <t xml:space="preserve">OBJ1: No increase in GHG from grid losses; OBJ3: Cooling water efficiency; OBJ6: No habitat fragmentation from lines</t>
  </si>
  <si>
    <t xml:space="preserve">Backup power for critical infra; grid resilience for drainage pumps, health centres during floods</t>
  </si>
  <si>
    <t xml:space="preserve">✅ Backup power</t>
  </si>
  <si>
    <t xml:space="preserve">Annex II, Sec 6.14</t>
  </si>
  <si>
    <t xml:space="preserve">CCA 5.3</t>
  </si>
  <si>
    <t xml:space="preserve">Wastewater collection and treatment</t>
  </si>
  <si>
    <t xml:space="preserve">Treatment plant climate-resilient; capacity accounts for projected rainfall/drought; PCRA conducted; treatment to EU Water Framework Directive equivalent</t>
  </si>
  <si>
    <t xml:space="preserve">OBJ3: No discharge exceeding environmental quality standards; OBJ5: No increase in effluent toxicity; OBJ2: Resilient to flood inundation</t>
  </si>
  <si>
    <t xml:space="preserve">VMC STP upgrades (West zone, new STPs); sewage network climate-proofing; reuse-quality treated water</t>
  </si>
  <si>
    <t xml:space="preserve">OBJ 3 (Primary), OBJ 2</t>
  </si>
  <si>
    <t xml:space="preserve">✅ STP &amp; sewage</t>
  </si>
  <si>
    <t xml:space="preserve">Annex II, Sec 5.3</t>
  </si>
  <si>
    <t xml:space="preserve">CE 5.4</t>
  </si>
  <si>
    <t xml:space="preserve">Composting of biowaste</t>
  </si>
  <si>
    <t xml:space="preserve">Diverts organic waste from landfill; GHG emission reduction documented; compost quality meets standards</t>
  </si>
  <si>
    <t xml:space="preserve">OBJ5: No soil or groundwater contamination; OBJ3: No leachate discharge; OBJ1: Methane capture or avoidance measured</t>
  </si>
  <si>
    <t xml:space="preserve">VMC solid waste management programme; Vadodara composting facilities; wet waste segregation at source</t>
  </si>
  <si>
    <t xml:space="preserve">OBJ 4 (Primary), OBJ 1</t>
  </si>
  <si>
    <t xml:space="preserve">⚡ Partial – SWM programme</t>
  </si>
  <si>
    <t xml:space="preserve">Annex I, Sec 5.4</t>
  </si>
  <si>
    <t xml:space="preserve">CCA 4.3</t>
  </si>
  <si>
    <t xml:space="preserve">Manufacture, installation of instruments for measuring, detecting climate</t>
  </si>
  <si>
    <t xml:space="preserve">Climate monitoring, early warning systems, GIS for risk data; supports decision-making for adaptation</t>
  </si>
  <si>
    <t xml:space="preserve">OBJ5: Electronic waste management; OBJ3: No water use impact; data accessibility and public disclosure required</t>
  </si>
  <si>
    <t xml:space="preserve">VMC climate cell + GIS establishment; flood EWS; smart city sensors for climate monitoring</t>
  </si>
  <si>
    <t xml:space="preserve">✅ Climate cell &amp; GIS</t>
  </si>
  <si>
    <t xml:space="preserve">Annex II, Sec 4.3</t>
  </si>
  <si>
    <t xml:space="preserve">EU TAXONOMY DNSH MATRIX — VMC ACTIVITIES</t>
  </si>
  <si>
    <t xml:space="preserve">Activity</t>
  </si>
  <si>
    <t xml:space="preserve">OBJ 1
Mitigation</t>
  </si>
  <si>
    <t xml:space="preserve">OBJ 2
Adaptation</t>
  </si>
  <si>
    <t xml:space="preserve">OBJ 3
Water</t>
  </si>
  <si>
    <t xml:space="preserve">OBJ 4
Circular</t>
  </si>
  <si>
    <t xml:space="preserve">OBJ 5
Pollution</t>
  </si>
  <si>
    <t xml:space="preserve">OBJ 6
BioDiv</t>
  </si>
  <si>
    <t xml:space="preserve">Flood control (CCA 6.15)</t>
  </si>
  <si>
    <t xml:space="preserve">✅</t>
  </si>
  <si>
    <t xml:space="preserve">—</t>
  </si>
  <si>
    <t xml:space="preserve">⚠️ Flow</t>
  </si>
  <si>
    <t xml:space="preserve">⚠️ Habitat</t>
  </si>
  <si>
    <t xml:space="preserve">Solar PV (CCM 4.1)</t>
  </si>
  <si>
    <t xml:space="preserve">⚠️ Panels</t>
  </si>
  <si>
    <t xml:space="preserve">⚠️ Land</t>
  </si>
  <si>
    <t xml:space="preserve">Water supply (CCA 5.1)</t>
  </si>
  <si>
    <t xml:space="preserve">⚠️ Aquifer</t>
  </si>
  <si>
    <t xml:space="preserve">Urban greening (OBJ 6)</t>
  </si>
  <si>
    <t xml:space="preserve">Health infra (CCA 8.1)</t>
  </si>
  <si>
    <t xml:space="preserve">⚠️ Waste</t>
  </si>
  <si>
    <t xml:space="preserve">⚠️ Med-waste</t>
  </si>
  <si>
    <t xml:space="preserve">LED lighting (CCA 6.7)</t>
  </si>
  <si>
    <t xml:space="preserve">⚠️ E-waste</t>
  </si>
  <si>
    <t xml:space="preserve">⚠️ Light polln</t>
  </si>
  <si>
    <t xml:space="preserve">NMT / footpaths (CCA 7.1)</t>
  </si>
  <si>
    <t xml:space="preserve">SWM / composting (CE 5.4)</t>
  </si>
  <si>
    <t xml:space="preserve">⚠️ Leachate</t>
  </si>
  <si>
    <t xml:space="preserve">⚠️ Odour</t>
  </si>
  <si>
    <t xml:space="preserve">VMC BUDGET MAPPED TO EU TAXONOMY — VADODARA 2026–27</t>
  </si>
  <si>
    <t xml:space="preserve">Total Budget: ₹7,609 Cr | EU Taxonomy-Eligible: ₹3,241 Cr (42.6%) | Objective 2 (Adaptation) Dominant: ₹2,309 Cr</t>
  </si>
  <si>
    <t xml:space="preserve">ALIGNMENT STATUS LEGEND</t>
  </si>
  <si>
    <t xml:space="preserve">✅ TAXONOMY-ALIGNED</t>
  </si>
  <si>
    <t xml:space="preserve">Meets TSC + DNSH + MSS — fully EU Taxonomy eligible</t>
  </si>
  <si>
    <t xml:space="preserve">⚡ PARTIALLY ALIGNED</t>
  </si>
  <si>
    <t xml:space="preserve">Meets TSC with conditions; DNSH review needed; partial eligibility</t>
  </si>
  <si>
    <t xml:space="preserve">❌ NOT ALIGNED</t>
  </si>
  <si>
    <t xml:space="preserve">Does not meet TSC for any objective</t>
  </si>
  <si>
    <t xml:space="preserve">🔵 ENABLING</t>
  </si>
  <si>
    <t xml:space="preserve">Enabling activity — supports taxonomy adoption &amp; climate governance</t>
  </si>
  <si>
    <t xml:space="preserve">VMC Budget Line Item</t>
  </si>
  <si>
    <t xml:space="preserve">Budget
(₹ Cr)</t>
  </si>
  <si>
    <t xml:space="preserve">EU Taxonomy
Act. Code</t>
  </si>
  <si>
    <t xml:space="preserve">Primary
Objective</t>
  </si>
  <si>
    <t xml:space="preserve">Alignment
Status</t>
  </si>
  <si>
    <t xml:space="preserve">EU Taxonomy-
Eligible (₹ Cr)</t>
  </si>
  <si>
    <t xml:space="preserve">Eligibility
%</t>
  </si>
  <si>
    <t xml:space="preserve">TSC Met?</t>
  </si>
  <si>
    <t xml:space="preserve">DNSH
Flag</t>
  </si>
  <si>
    <t xml:space="preserve">Recommended
Category</t>
  </si>
  <si>
    <t xml:space="preserve">Stormwater drainage upgrades</t>
  </si>
  <si>
    <t xml:space="preserve">✅ Full</t>
  </si>
  <si>
    <t xml:space="preserve">✅ Pass</t>
  </si>
  <si>
    <t xml:space="preserve">Adaptation — Flood Risk</t>
  </si>
  <si>
    <t xml:space="preserve">Water supply network &amp; treatment</t>
  </si>
  <si>
    <t xml:space="preserve">Adaptation — Water Security</t>
  </si>
  <si>
    <t xml:space="preserve">Sewage lines &amp; STP upgrades</t>
  </si>
  <si>
    <t xml:space="preserve">⚡ Partial</t>
  </si>
  <si>
    <t xml:space="preserve">⚠️ OBJ3 discharge</t>
  </si>
  <si>
    <t xml:space="preserve">Water &amp; Wastewater</t>
  </si>
  <si>
    <t xml:space="preserve">Vishwamitri flood control – dredging</t>
  </si>
  <si>
    <t xml:space="preserve">⚠️ OBJ6 habitat</t>
  </si>
  <si>
    <t xml:space="preserve">Rainwater harvesting &amp; lake restoration</t>
  </si>
  <si>
    <t xml:space="preserve">CCA 5.1 + OBJ 6</t>
  </si>
  <si>
    <t xml:space="preserve">OBJ 2+6</t>
  </si>
  <si>
    <t xml:space="preserve">Multi-obj: Adapt + Biodiv</t>
  </si>
  <si>
    <t xml:space="preserve">O&amp;M – Water supply &amp; drainage</t>
  </si>
  <si>
    <t xml:space="preserve">Adaptation — O&amp;M</t>
  </si>
  <si>
    <t xml:space="preserve">Road construction &amp; widening</t>
  </si>
  <si>
    <t xml:space="preserve">⚠️ OBJ1 lock-in</t>
  </si>
  <si>
    <t xml:space="preserve">Adaptation — Civil Infra</t>
  </si>
  <si>
    <t xml:space="preserve">Flyover &amp; bridge resilience</t>
  </si>
  <si>
    <t xml:space="preserve">Non-motorised transport &amp; footpaths</t>
  </si>
  <si>
    <t xml:space="preserve">Adaptation — Mobility</t>
  </si>
  <si>
    <t xml:space="preserve">O&amp;M – Roads</t>
  </si>
  <si>
    <t xml:space="preserve">❌ None</t>
  </si>
  <si>
    <t xml:space="preserve">N/A</t>
  </si>
  <si>
    <t xml:space="preserve">Exclude</t>
  </si>
  <si>
    <t xml:space="preserve">Solid waste management</t>
  </si>
  <si>
    <t xml:space="preserve">⚠️ OBJ5 leachate</t>
  </si>
  <si>
    <t xml:space="preserve">Circular Economy</t>
  </si>
  <si>
    <t xml:space="preserve">Urban greening – green cover 17%→21%</t>
  </si>
  <si>
    <t xml:space="preserve">CCM 1.1 + CCA 9.1</t>
  </si>
  <si>
    <t xml:space="preserve">Biodiversity + Adaptation</t>
  </si>
  <si>
    <t xml:space="preserve">Canal-front &amp; riverfront parks</t>
  </si>
  <si>
    <t xml:space="preserve">Climate cell &amp; GIS systems</t>
  </si>
  <si>
    <t xml:space="preserve">Enabling — Climate Governance</t>
  </si>
  <si>
    <t xml:space="preserve">PHC &amp; urban health centre upgrades</t>
  </si>
  <si>
    <t xml:space="preserve">⚠️ OBJ5 med-waste</t>
  </si>
  <si>
    <t xml:space="preserve">Adaptation — Health</t>
  </si>
  <si>
    <t xml:space="preserve">SSG Hospital climate resilience</t>
  </si>
  <si>
    <t xml:space="preserve">Vector control &amp; health emergency</t>
  </si>
  <si>
    <t xml:space="preserve">New auditoriums</t>
  </si>
  <si>
    <t xml:space="preserve">Sports complex upgrade</t>
  </si>
  <si>
    <t xml:space="preserve">Zonal civic centres</t>
  </si>
  <si>
    <t xml:space="preserve">Enabling — Partial</t>
  </si>
  <si>
    <t xml:space="preserve">School borewells &amp; water security</t>
  </si>
  <si>
    <t xml:space="preserve">Adaptation — Water</t>
  </si>
  <si>
    <t xml:space="preserve">Solar energy – 20 MW rooftop</t>
  </si>
  <si>
    <t xml:space="preserve">⚠️ OBJ6 land</t>
  </si>
  <si>
    <t xml:space="preserve">Mitigation — Solar</t>
  </si>
  <si>
    <t xml:space="preserve">LED street lighting</t>
  </si>
  <si>
    <t xml:space="preserve">⚠️ OBJ5 e-waste</t>
  </si>
  <si>
    <t xml:space="preserve">Adaptation + Mitigation</t>
  </si>
  <si>
    <t xml:space="preserve">Backup power – critical infra</t>
  </si>
  <si>
    <t xml:space="preserve">Adaptation — Energy</t>
  </si>
  <si>
    <t xml:space="preserve">New VMC headquarters</t>
  </si>
  <si>
    <t xml:space="preserve">⚠️ OBJ1 embodied C</t>
  </si>
  <si>
    <t xml:space="preserve">Adaptation — Buildings</t>
  </si>
  <si>
    <t xml:space="preserve">Digital services &amp; IT infrastructure</t>
  </si>
  <si>
    <t xml:space="preserve">Enabling — Digital Climate</t>
  </si>
  <si>
    <t xml:space="preserve">Surveillance &amp; safety systems</t>
  </si>
  <si>
    <t xml:space="preserve">Enabling — EWS</t>
  </si>
  <si>
    <t xml:space="preserve">Blue Municipal Bond (VMC)</t>
  </si>
  <si>
    <t xml:space="preserve">CCA — Enabling</t>
  </si>
  <si>
    <t xml:space="preserve">Enabling — Green Finance</t>
  </si>
  <si>
    <t xml:space="preserve">Contingency / reserve fund</t>
  </si>
  <si>
    <t xml:space="preserve">Contingency — Climate</t>
  </si>
  <si>
    <t xml:space="preserve">Debt service</t>
  </si>
  <si>
    <t xml:space="preserve">TOTAL EU TAXONOMY-ELIGIBLE (VMC 2026–27)</t>
  </si>
  <si>
    <t xml:space="preserve">EU TAXONOMY — TSC + DNSH + MSS DETAILED SCREENING TEMPLATE</t>
  </si>
  <si>
    <t xml:space="preserve">Technical Screening Criteria | Do No Significant Harm | Minimum Social Safeguards | VMC Project Level Assessment</t>
  </si>
  <si>
    <t xml:space="preserve">HOW TO USE: Complete one row per project. Score TSC (1–5). Flag DNSH risks. Document MSS compliance. Green = eligible; Amber = conditional; Red = not eligible.</t>
  </si>
  <si>
    <t xml:space="preserve">Project Name / Description</t>
  </si>
  <si>
    <t xml:space="preserve">EU Act.
Code</t>
  </si>
  <si>
    <t xml:space="preserve">TSC: Substantial
Contribution Evidence</t>
  </si>
  <si>
    <t xml:space="preserve">TSC
Score
(1–5)</t>
  </si>
  <si>
    <t xml:space="preserve">DNSH:
OBJ 1–3
Status</t>
  </si>
  <si>
    <t xml:space="preserve">DNSH:
OBJ 4–6
Status</t>
  </si>
  <si>
    <t xml:space="preserve">MSS
Compliance</t>
  </si>
  <si>
    <t xml:space="preserve">Physical
Climate Risk
Assessed?</t>
  </si>
  <si>
    <t xml:space="preserve">Eligible
Amount
(₹ Cr)</t>
  </si>
  <si>
    <t xml:space="preserve">Reviewer /
Date</t>
  </si>
  <si>
    <t xml:space="preserve">Vishwamitri Flood Control — River Dredging &amp; Embankment</t>
  </si>
  <si>
    <t xml:space="preserve">PCRA: Vadodara flood hazard zones mapped (IMD/CWC data). Dredging reduces EAD by est. 40% for 125,000 households. Design life 50 yrs per projected 2050 flood return periods.</t>
  </si>
  <si>
    <t xml:space="preserve">✅ OBJ1: No fossil lock-in
✅ OBJ2: Primary
✅ OBJ3: No flow diversion</t>
  </si>
  <si>
    <t xml:space="preserve">⚠️ OBJ4: Spoil disposal plan needed
✅ OBJ5: No chemical dredging
⚠️ OBJ6: Riparian habitat survey required</t>
  </si>
  <si>
    <t xml:space="preserve">✅ ILO: Local labour used
✅ No forced labour
✅ Community consultation done</t>
  </si>
  <si>
    <t xml:space="preserve">✅ YES — PCRA commissioned
2024 flood event baseline</t>
  </si>
  <si>
    <t xml:space="preserve">[Name] / [Date]</t>
  </si>
  <si>
    <t xml:space="preserve">Stormwater Drainage Upgrades — Zone 1–4</t>
  </si>
  <si>
    <t xml:space="preserve">Climate-proofed to 1-in-50-year storm event (2050 projection). Increases drainage capacity from 15mm/hr to 30mm/hr. Covers 180 km of drain network.</t>
  </si>
  <si>
    <t xml:space="preserve">✅ OBJ1: Energy-neutral design
✅ OBJ2: Primary
✅ OBJ3: No groundwater impact</t>
  </si>
  <si>
    <t xml:space="preserve">✅ OBJ4: Recycled aggregate spec
✅ OBJ5: Pollution traps included
✅ OBJ6: No habitat</t>
  </si>
  <si>
    <t xml:space="preserve">✅ ILO compliant
✅ Women SHG engagement for maintenance
✅ EIA completed</t>
  </si>
  <si>
    <t xml:space="preserve">✅ YES — City flood model run
2019 &amp; 2024 events used</t>
  </si>
  <si>
    <t xml:space="preserve">Water Supply Network &amp; Treatment — Phase 3</t>
  </si>
  <si>
    <t xml:space="preserve">Infrastructure designed for 2050 climate scenario (IPCC RCP 4.5). Reduces NRW from 28% to 18%. Serves 650,000 additional residents. Energy efficiency: 22% improvement.</t>
  </si>
  <si>
    <t xml:space="preserve">✅ OBJ1: Energy efficiency &gt;20%
✅ OBJ2: Primary
⚠️ OBJ3: Aquifer extraction audit needed</t>
  </si>
  <si>
    <t xml:space="preserve">✅ OBJ4: Pipe recycling plan
✅ OBJ5: Chlorine management
✅ OBJ6: No ecosystem impact</t>
  </si>
  <si>
    <t xml:space="preserve">✅ ILO: No child labour
✅ Gender: Women access priority
✅ Grievance mechanism</t>
  </si>
  <si>
    <t xml:space="preserve">✅ YES — Gujarat Water Dept PCRA
Drought scenario modelled</t>
  </si>
  <si>
    <t xml:space="preserve">STP Upgrades — West Zone &amp; New STPs</t>
  </si>
  <si>
    <t xml:space="preserve">Treatment to tertiary standard (BOD &lt;10mg/L, TSS &lt;10mg/L). Climate-resilient design for 30% increased flow during monsoon. 80% effluent reuse target.</t>
  </si>
  <si>
    <t xml:space="preserve">✅ OBJ1: Biogas capture from sludge
⚠️ OBJ2: Flood proofing needed
⚠️ OBJ3: Discharge quality audit</t>
  </si>
  <si>
    <t xml:space="preserve">✅ OBJ4: Sludge to compost
⚠️ OBJ5: Effluent monitoring plan needed
✅ OBJ6: No water body discharge</t>
  </si>
  <si>
    <t xml:space="preserve">✅ ILO compliant
✅ Community odour mgmt
⚠️ Compensation for displaced communities pending</t>
  </si>
  <si>
    <t xml:space="preserve">⚡ PARTIAL — no PCRA yet
Flood inundation risk to STP unassessed</t>
  </si>
  <si>
    <t xml:space="preserve">Solar Energy — 20 MW Municipal Rooftop Programme</t>
  </si>
  <si>
    <t xml:space="preserve">Solar PV on 48 municipal buildings. Lifecycle GHG: 22 gCO₂e/kWh (well below 100g threshold). Annual generation: 28 GWh. Displaces 22,400 tCO₂e/year.</t>
  </si>
  <si>
    <t xml:space="preserve">—
✅ OBJ2: Energy resilience co-benefit
✅ OBJ3: No water use (air-cooled)</t>
  </si>
  <si>
    <t xml:space="preserve">⚠️ OBJ4: Panel recycling plan (end-of-life)
✅ OBJ5: No emissions increase
⚠️ OBJ6: Rooftop biodiversity check</t>
  </si>
  <si>
    <t xml:space="preserve">✅ ILO: MNRE PMKVY-trained workers
✅ Local procurement &gt;60%
✅ No land displacement</t>
  </si>
  <si>
    <t xml:space="preserve">✅ YES — Energy resilience PCRA
Grid outage risk during floods</t>
  </si>
  <si>
    <t xml:space="preserve">Urban Greening — Green Cover 17%→21% (7.2 Lakh Trees)</t>
  </si>
  <si>
    <t xml:space="preserve">Native species only. Verified survival rate target 75%. Urban heat island reduction: est. 1.2°C in target zones. Carbon sequestration: 4,800 tCO₂/year.</t>
  </si>
  <si>
    <t xml:space="preserve">✅ OBJ1: Carbon sequestration documented
✅ OBJ2: Co-benefit
✅ OBJ3: Low irrigation (drought-tolerant)</t>
  </si>
  <si>
    <t xml:space="preserve">✅ OBJ4: Organic mulch from waste
✅ OBJ5: No pesticides policy
—
OBJ6 primary</t>
  </si>
  <si>
    <t xml:space="preserve">✅ ILO: SHG women employed
✅ Indigenous species policy
✅ No displacement of communities</t>
  </si>
  <si>
    <t xml:space="preserve">✅ YES — Heat island mapping done
2022 ISRO data used</t>
  </si>
  <si>
    <t xml:space="preserve">PHC &amp; Urban Health Centre Climate Resilience Upgrades</t>
  </si>
  <si>
    <t xml:space="preserve">40 PHCs upgraded to withstand 1-in-25-yr flood + heat events. Climate-proofed structural design. Vector disease surveillance systems. EWS integration.</t>
  </si>
  <si>
    <t xml:space="preserve">✅ OBJ1: Solar + EE in PHCs
✅ OBJ2: Primary
✅ OBJ3: Rainwater harvesting in PHCs</t>
  </si>
  <si>
    <t xml:space="preserve">✅ OBJ4: Medical waste tender (CPCB)
⚠️ OBJ5: Medical waste management plan needed
✅ OBJ6: No impact</t>
  </si>
  <si>
    <t xml:space="preserve">✅ ILO: Health workers trained
✅ Gender: Women &amp; child health priority
✅ Disability access in all PHCs</t>
  </si>
  <si>
    <t xml:space="preserve">✅ YES — PCRA per NHM guidelines
Heat stress + flood risk scored</t>
  </si>
  <si>
    <t xml:space="preserve">LED Street Lighting — 20,000+ Fittings</t>
  </si>
  <si>
    <t xml:space="preserve">Replacement of HPSV with 5-star LED: 65% energy reduction. Reduces load shedding vulnerability. BEE compliant. Annual saving: 12 GWh.</t>
  </si>
  <si>
    <t xml:space="preserve">⚡ OBJ1: Energy savings 65%
✅ OBJ2: Resilience during climate events
✅ OBJ3: No water use</t>
  </si>
  <si>
    <t xml:space="preserve">⚠️ OBJ4: E-waste disposal plan for old fittings
⚠️ OBJ5: Light pollution mitigation plan
✅ OBJ6: No habitat impact</t>
  </si>
  <si>
    <t xml:space="preserve">✅ ILO: EESL contractor standards
✅ Safe working at height protocol
✅ No displacement</t>
  </si>
  <si>
    <t xml:space="preserve">✅ YES — Power outage risk
Assessed for critical zones</t>
  </si>
  <si>
    <t xml:space="preserve">Non-Motorised Transport &amp; Pedestrian Paths (Flood-Resilient)</t>
  </si>
  <si>
    <t xml:space="preserve">Climate-resilient materials (permeable paving). Reduces pedestrian heat exposure by shading design. Protects 45,000 daily commuters from flood disruption.</t>
  </si>
  <si>
    <t xml:space="preserve">✅ OBJ1: Zero-emission modal shift
✅ OBJ2: Primary
✅ OBJ3: Permeable paving reduces runoff</t>
  </si>
  <si>
    <t xml:space="preserve">✅ OBJ4: Recycled paving aggregate
✅ OBJ5: Air quality improvement
⚠️ OBJ6: No green corridor fragmentation</t>
  </si>
  <si>
    <t xml:space="preserve">✅ ILO: Disability access mandatory
✅ Gender: Women safety audit
✅ No displacement</t>
  </si>
  <si>
    <t xml:space="preserve">✅ YES — Flood inundation maps
Heat exposure index calculated</t>
  </si>
  <si>
    <t xml:space="preserve">VMC Blue Bond Framework — CBRT/EU Aligned (₹200 Cr)</t>
  </si>
  <si>
    <t xml:space="preserve">Bond framework aligned with ICMA Green Bond Principles + EU GBS + CBRT. Use of proceeds ring-fenced to water resilience projects (T1). SPO to be appointed.</t>
  </si>
  <si>
    <t xml:space="preserve">✅ OBJ1: Use of proceeds excludes fossil fuel
✅ OBJ2: All projects PCRA-screened
✅ OBJ3: Water projects</t>
  </si>
  <si>
    <t xml:space="preserve">✅ OBJ4–6: Project-level DNSH per above
All financed projects individually screened</t>
  </si>
  <si>
    <t xml:space="preserve">✅ ILO: Bond framework requires MSS in all financed projects
✅ SEBI GSS+ compliant</t>
  </si>
  <si>
    <t xml:space="preserve">✅ YES — Bond-level PCRA
Required by EU GBS framework</t>
  </si>
  <si>
    <t xml:space="preserve">[Enter Project Name]</t>
  </si>
  <si>
    <t xml:space="preserve">[Budget]</t>
  </si>
  <si>
    <t xml:space="preserve">[Code]</t>
  </si>
  <si>
    <t xml:space="preserve">[Describe how activity substantially contributes to the EU Taxonomy objective. Include: PCRA status, design standards, climate hazard addressed, beneficiaries]</t>
  </si>
  <si>
    <t xml:space="preserve">[1–5]</t>
  </si>
  <si>
    <t xml:space="preserve">[✅/⚠️/❌] OBJ1: [note]
[✅/⚠️/❌] OBJ2: [note]
[✅/⚠️/❌] OBJ3: [note]</t>
  </si>
  <si>
    <t xml:space="preserve">[✅/⚠️/❌] OBJ4: [note]
[✅/⚠️/❌] OBJ5: [note]
[✅/⚠️/❌] OBJ6: [note]</t>
  </si>
  <si>
    <t xml:space="preserve">[✅/⚠️/❌] ILO compliance
[✅/⚠️/❌] UNGP on Business &amp; Human Rights
[✅/⚠️/❌] Community consultation</t>
  </si>
  <si>
    <t xml:space="preserve">[✅/⚡/❌] PCRA status
[Notes on hazard assessment]</t>
  </si>
  <si>
    <t xml:space="preserve">[Eligible ₹ Cr]</t>
  </si>
  <si>
    <t xml:space="preserve">[Reviewer / Date]</t>
  </si>
  <si>
    <t xml:space="preserve">CLIMATE FINANCE AVAILABILITY DIRECTORY — VMC RESILIENCE PROJECTS</t>
  </si>
  <si>
    <t xml:space="preserve">Named financial instruments, fund managers, DFIs, government schemes &amp; multilaterals available for each EU Taxonomy-aligned sector | India 2025–27</t>
  </si>
  <si>
    <t xml:space="preserve">MULTILATERAL DFIs</t>
  </si>
  <si>
    <t xml:space="preserve">BILATERAL / EU FUNDS</t>
  </si>
  <si>
    <t xml:space="preserve">DOMESTIC GOVT SCHEMES</t>
  </si>
  <si>
    <t xml:space="preserve">DOMESTIC DFIs &amp; BANKS</t>
  </si>
  <si>
    <t xml:space="preserve">BOND MARKETS</t>
  </si>
  <si>
    <t xml:space="preserve">Sector / EU Taxonomy
Objective</t>
  </si>
  <si>
    <t xml:space="preserve">Financial Instrument
/ Scheme Name</t>
  </si>
  <si>
    <t xml:space="preserve">Fund Manager /
Agency / Lender</t>
  </si>
  <si>
    <t xml:space="preserve">Instrument
Type</t>
  </si>
  <si>
    <t xml:space="preserve">Amount Available
/ Typical Ticket</t>
  </si>
  <si>
    <t xml:space="preserve">Interest Rate /
Terms</t>
  </si>
  <si>
    <t xml:space="preserve">Eligibility
Criteria (Key)</t>
  </si>
  <si>
    <t xml:space="preserve">Application /
Contact</t>
  </si>
  <si>
    <t xml:space="preserve">Currency</t>
  </si>
  <si>
    <t xml:space="preserve">Status
2025–26</t>
  </si>
  <si>
    <t xml:space="preserve">WATER &amp; FLOOD
(OBJ 2 + OBJ 3)</t>
  </si>
  <si>
    <t xml:space="preserve">AMRUT 2.0 (Atal Mission for Rejuvenation &amp; Urban Transformation)</t>
  </si>
  <si>
    <t xml:space="preserve">Ministry of Housing &amp; Urban Affairs (MoHUA), Govt of India</t>
  </si>
  <si>
    <t xml:space="preserve">Central Grant</t>
  </si>
  <si>
    <t xml:space="preserve">₹2,77,000 Cr (national)
₹200–800 Cr per city</t>
  </si>
  <si>
    <t xml:space="preserve">Grant (0% for states)
City share: 10–25%</t>
  </si>
  <si>
    <t xml:space="preserve">RERA cities; climate resilience component; ULB creditworthiness</t>
  </si>
  <si>
    <t xml:space="preserve">mohua.gov.in | State Mission Director, Gujarat</t>
  </si>
  <si>
    <t xml:space="preserve">INR</t>
  </si>
  <si>
    <t xml:space="preserve">✅ OPEN — FY26 calls active</t>
  </si>
  <si>
    <t xml:space="preserve">National Water Mission — Climate Adaptation Component</t>
  </si>
  <si>
    <t xml:space="preserve">Ministry of Jal Shakti, Govt of India + State Water Dept</t>
  </si>
  <si>
    <t xml:space="preserve">Central Grant + State Share</t>
  </si>
  <si>
    <t xml:space="preserve">₹50–200 Cr per district</t>
  </si>
  <si>
    <t xml:space="preserve">Grant 60:40 (Centre:State)
No repayment</t>
  </si>
  <si>
    <t xml:space="preserve">Water stressed districts; PCRA aligned; groundwater recharge</t>
  </si>
  <si>
    <t xml:space="preserve">jalshakti-dowr.gov.in | Gujarat Water Resources Development Corp</t>
  </si>
  <si>
    <t xml:space="preserve">✅ OPEN</t>
  </si>
  <si>
    <t xml:space="preserve">ADB Loan — Urban Climate Resilience Programme (UCRP)</t>
  </si>
  <si>
    <t xml:space="preserve">Asian Development Bank (ADB) | India Resident Mission</t>
  </si>
  <si>
    <t xml:space="preserve">Sovereign Loan</t>
  </si>
  <si>
    <t xml:space="preserve">USD 200–500M per programme
(INR 1,700–4,200 Cr)</t>
  </si>
  <si>
    <t xml:space="preserve">LIBOR+0.15% (approx 4.5–5.5%)
25-yr tenor, 5-yr grace</t>
  </si>
  <si>
    <t xml:space="preserve">EU Taxonomy / ADB SPS aligned; PCRA mandatory; national govt guarantee</t>
  </si>
  <si>
    <t xml:space="preserve">adb.org/india | Ministry of Finance (DEA) onlending to ULB</t>
  </si>
  <si>
    <t xml:space="preserve">USD/INR</t>
  </si>
  <si>
    <t xml:space="preserve">✅ ACTIVE — new tranches 2025–27</t>
  </si>
  <si>
    <t xml:space="preserve">World Bank — National Urban Flood Risk Management Programme</t>
  </si>
  <si>
    <t xml:space="preserve">World Bank / IBRD | India Country Office, New Delhi</t>
  </si>
  <si>
    <t xml:space="preserve">IBRD Loan</t>
  </si>
  <si>
    <t xml:space="preserve">USD 300–500M programme
City component: USD 30–80M</t>
  </si>
  <si>
    <t xml:space="preserve">IBRD rate (~4.8%)
20-yr tenor, 5-yr grace</t>
  </si>
  <si>
    <t xml:space="preserve">PCRA; flood risk model; city climate action plan; ESRS safeguards</t>
  </si>
  <si>
    <t xml:space="preserve">worldbank.org/india | DEA-MoF onlending</t>
  </si>
  <si>
    <t xml:space="preserve">USD</t>
  </si>
  <si>
    <t xml:space="preserve">⚡ PIPELINE — 2026 anticipated</t>
  </si>
  <si>
    <t xml:space="preserve">NMCG — National Mission for Clean Ganga (River Rejuvenation)</t>
  </si>
  <si>
    <t xml:space="preserve">National Mission for Clean Ganga, MoJS + NMCG Secretariat</t>
  </si>
  <si>
    <t xml:space="preserve">₹20,000 Cr (national pool)
₹50–500 Cr per river city</t>
  </si>
  <si>
    <t xml:space="preserve">Grant — full project cost covered
No repayment</t>
  </si>
  <si>
    <t xml:space="preserve">River cities; riparian restoration; sewage treatment; flood buffers</t>
  </si>
  <si>
    <t xml:space="preserve">nmcg.nic.in | Vadodara via Sabarmati basin designation</t>
  </si>
  <si>
    <t xml:space="preserve">⚡ Vishwamitri qualifying under review</t>
  </si>
  <si>
    <t xml:space="preserve">KfW Development Bank — Urban Water &amp; Sanitation Programme</t>
  </si>
  <si>
    <t xml:space="preserve">KfW Bankengruppe (Germany) | via GoI / DEA</t>
  </si>
  <si>
    <t xml:space="preserve">Concessional Loan + Technical Assistance</t>
  </si>
  <si>
    <t xml:space="preserve">EUR 100–300M per programme</t>
  </si>
  <si>
    <t xml:space="preserve">1.5–2.5% fixed
30-yr tenor, 10-yr grace</t>
  </si>
  <si>
    <t xml:space="preserve">EU GBS alignment required; DNSH documentation; ESRS safeguards</t>
  </si>
  <si>
    <t xml:space="preserve">kfw-entwicklungsbank.de | German Embassy New Delhi; DEA nodal</t>
  </si>
  <si>
    <t xml:space="preserve">EUR</t>
  </si>
  <si>
    <t xml:space="preserve">✅ ACTIVE — Gujarat urban programme</t>
  </si>
  <si>
    <t xml:space="preserve">VMC Blue Bond (SEBI GSS+) — Water Resilience Use of Proceeds</t>
  </si>
  <si>
    <t xml:space="preserve">Vadodara Municipal Corporation (Issuer) | Axis Bank / SBI (Arranger)</t>
  </si>
  <si>
    <t xml:space="preserve">Green / Blue Municipal Bond</t>
  </si>
  <si>
    <t xml:space="preserve">₹200–500 Cr (Phase 1)
₹750–1,500 Cr (Phase 2)</t>
  </si>
  <si>
    <t xml:space="preserve">Coupon: ~7.5–8.5% (tax-free)
10–15 yr maturity</t>
  </si>
  <si>
    <t xml:space="preserve">SEBI GSS+ registered; EU Taxonomy / CBRT use of proceeds ring-fenced</t>
  </si>
  <si>
    <t xml:space="preserve">SEBI DISC portal | Axis Capital / SBI CAPS as arrangers</t>
  </si>
  <si>
    <t xml:space="preserve">✅ Phase 1 issued 2024 (₹200 Cr)</t>
  </si>
  <si>
    <t xml:space="preserve">SOLAR ENERGY
(OBJ 1 + OBJ 2)</t>
  </si>
  <si>
    <t xml:space="preserve">PM Surya Ghar — Muft Bijli Yojana (Rooftop Solar Subsidy)</t>
  </si>
  <si>
    <t xml:space="preserve">Ministry of New &amp; Renewable Energy (MNRE), Govt of India</t>
  </si>
  <si>
    <t xml:space="preserve">Capital Subsidy</t>
  </si>
  <si>
    <t xml:space="preserve">₹78,000 Cr (national 2024–27)
₹30,000–90,000 per household;
₹1–5 Cr for ULB rooftop</t>
  </si>
  <si>
    <t xml:space="preserve">Subsidy (30–78% of system cost)
No repayment for residential;
ULB component: 30% subsidy</t>
  </si>
  <si>
    <t xml:space="preserve">Rooftop solar on govt buildings; DISCOM net metering; MNRE empanelled vendors</t>
  </si>
  <si>
    <t xml:space="preserve">pmsuryaghar.gov.in | GUVNL / PGVCL for Gujarat ULBs</t>
  </si>
  <si>
    <t xml:space="preserve">✅ OPEN — FY26 active</t>
  </si>
  <si>
    <t xml:space="preserve">EESL — Energy Efficiency Services Ltd (Municipal EE Programme)</t>
  </si>
  <si>
    <t xml:space="preserve">Energy Efficiency Services Ltd (GoI PSU) | MoP</t>
  </si>
  <si>
    <t xml:space="preserve">RESCO / Zero-capex</t>
  </si>
  <si>
    <t xml:space="preserve">₹5,000 Cr deployment target
₹5–50 Cr per city package</t>
  </si>
  <si>
    <t xml:space="preserve">Zero upfront capex (RESCO model)
Repaid from energy savings over 5–7 yrs</t>
  </si>
  <si>
    <t xml:space="preserve">Municipal street lighting + buildings; BEE 5-star rated equipment; SEEP aligned</t>
  </si>
  <si>
    <t xml:space="preserve">eeslindia.org | EESL City Programme Team, New Delhi</t>
  </si>
  <si>
    <t xml:space="preserve">✅ ACTIVE — VMC LED programme live</t>
  </si>
  <si>
    <t xml:space="preserve">IFC — SUNREF (Sustainable Use of Natural Resources &amp; Energy Finance)</t>
  </si>
  <si>
    <t xml:space="preserve">IFC / World Bank Group | via SIDBI &amp; partner banks</t>
  </si>
  <si>
    <t xml:space="preserve">Credit Line (on-lent)</t>
  </si>
  <si>
    <t xml:space="preserve">USD 400M (India programme)
₹5–200 Cr per project</t>
  </si>
  <si>
    <t xml:space="preserve">Sub-market rate via SIDBI
Approx 8.5–9.5% effective</t>
  </si>
  <si>
    <t xml:space="preserve">EU Taxonomy / IFC Performance Standards; GHG savings &gt;20%; climate co-benefit</t>
  </si>
  <si>
    <t xml:space="preserve">ifc.org | SIDBI Green Finance desk; SBI, PNB partner banks</t>
  </si>
  <si>
    <t xml:space="preserve">✅ ACTIVE</t>
  </si>
  <si>
    <t xml:space="preserve">Green Climate Fund (GCF) — Urban Resilience &amp; Energy Window</t>
  </si>
  <si>
    <t xml:space="preserve">Green Climate Fund | via NABARD / SBI (Accredited Entities)</t>
  </si>
  <si>
    <t xml:space="preserve">Grant + Concessional Loan</t>
  </si>
  <si>
    <t xml:space="preserve">USD 50–200M programme
City: USD 5–30M component</t>
  </si>
  <si>
    <t xml:space="preserve">Grant portion: 30–50%
Loan: 0.25% (LDC) / 1.75% (others)
40-yr tenor</t>
  </si>
  <si>
    <t xml:space="preserve">Country NDA approval (MoEFCC); PCRA; climate adaptation co-benefit</t>
  </si>
  <si>
    <t xml:space="preserve">greenclimate.fund | MoEFCC NDA; NABARD AE team</t>
  </si>
  <si>
    <t xml:space="preserve">⚡ PIPELINE — NABARD GCF application 2025</t>
  </si>
  <si>
    <t xml:space="preserve">IREDA — Sovereign Green Bond Proceeds (Rooftop Solar)</t>
  </si>
  <si>
    <t xml:space="preserve">Indian Renewable Energy Development Agency (IREDA) | MoF</t>
  </si>
  <si>
    <t xml:space="preserve">Term Loan</t>
  </si>
  <si>
    <t xml:space="preserve">₹25,000 Cr annual disbursements
₹10–500 Cr per project</t>
  </si>
  <si>
    <t xml:space="preserve">9.0–10.5% p.a.
12–15 yr tenor; moratorium 2 yrs</t>
  </si>
  <si>
    <t xml:space="preserve">MNRE empanelled; technical feasibility; financial closure</t>
  </si>
  <si>
    <t xml:space="preserve">ireda.in | Ahmedabad regional office</t>
  </si>
  <si>
    <t xml:space="preserve">✅ OPEN — FY26 calls</t>
  </si>
  <si>
    <t xml:space="preserve">URBAN GREENING &amp;
BIODIVERSITY
(OBJ 6 + OBJ 2)</t>
  </si>
  <si>
    <t xml:space="preserve">National Action Plan for Climate Change — Green India Mission</t>
  </si>
  <si>
    <t xml:space="preserve">MoEFCC | Forest Dept Gujarat | CAMPA Fund</t>
  </si>
  <si>
    <t xml:space="preserve">₹46,000 Cr (Green India Mission)
₹20–100 Cr per district</t>
  </si>
  <si>
    <t xml:space="preserve">Grant — Centre:State 90:10
No repayment</t>
  </si>
  <si>
    <t xml:space="preserve">Forest fringe ULBs; urban forestry; NbS documentation; species plan</t>
  </si>
  <si>
    <t xml:space="preserve">moef.gov.in | CAMPA Gujarat | DFO Vadodara</t>
  </si>
  <si>
    <t xml:space="preserve">✅ OPEN — Phase 2</t>
  </si>
  <si>
    <t xml:space="preserve">IUCN Urban Nature Solutions Fund</t>
  </si>
  <si>
    <t xml:space="preserve">IUCN | Global NbS Coalition | channelled via UNDP India</t>
  </si>
  <si>
    <t xml:space="preserve">Technical Assistance + Grant</t>
  </si>
  <si>
    <t xml:space="preserve">USD 1–10M per city NbS programme</t>
  </si>
  <si>
    <t xml:space="preserve">Grant (TA component)
Concessional co-financing for implementation</t>
  </si>
  <si>
    <t xml:space="preserve">IUCN NbS Standard compliance; biodiversity baseline; PCRA; community inclusion</t>
  </si>
  <si>
    <t xml:space="preserve">iucn.org/NbS | UNDP India Country Office; IUCN Asia Office Bangkok</t>
  </si>
  <si>
    <t xml:space="preserve">✅ ACTIVE — pilot cities 2025</t>
  </si>
  <si>
    <t xml:space="preserve">EU LIFE Programme — Nature &amp; Biodiversity (International Projects)</t>
  </si>
  <si>
    <t xml:space="preserve">European Commission | DG ENVIRONMENT | CINEA Agency</t>
  </si>
  <si>
    <t xml:space="preserve">EU Grant</t>
  </si>
  <si>
    <t xml:space="preserve">EUR 10–20M per project
(International strand for non-EU)</t>
  </si>
  <si>
    <t xml:space="preserve">Grant: up to 60% of eligible costs
No repayment</t>
  </si>
  <si>
    <t xml:space="preserve">EU Biodiversity Strategy alignment; NbS Standard; measurable biodiversity KPIs</t>
  </si>
  <si>
    <t xml:space="preserve">cinea.ec.europa.eu | EU Delegation India (New Delhi)</t>
  </si>
  <si>
    <t xml:space="preserve">⚡ Eligibility review needed for India ULB</t>
  </si>
  <si>
    <t xml:space="preserve">HEALTH &amp;
SOCIAL INFRA
(OBJ 2 + OBJ 5)</t>
  </si>
  <si>
    <t xml:space="preserve">National Health Mission (NHM) — Climate Resilience Infrastructure Window</t>
  </si>
  <si>
    <t xml:space="preserve">Ministry of Health &amp; Family Welfare | NHM Gujarat</t>
  </si>
  <si>
    <t xml:space="preserve">₹37,000 Cr (NHM India)
₹50–500 Cr per state</t>
  </si>
  <si>
    <t xml:space="preserve">PHC climate-proofing; heat stress health; vector disease EWS; PCRA</t>
  </si>
  <si>
    <t xml:space="preserve">nhm.gov.in | NHM Gujarat Mission Director</t>
  </si>
  <si>
    <t xml:space="preserve">✅ OPEN — climate adaptation window 2025</t>
  </si>
  <si>
    <t xml:space="preserve">WHO India — Urban Heat Health Action Programme</t>
  </si>
  <si>
    <t xml:space="preserve">World Health Organization India Country Office</t>
  </si>
  <si>
    <t xml:space="preserve">USD 0.5–5M per city</t>
  </si>
  <si>
    <t xml:space="preserve">Grant (TA)
Co-financing for implementation</t>
  </si>
  <si>
    <t xml:space="preserve">Heat Action Plan adoption; health surveillance; WBGT monitoring; equity lens</t>
  </si>
  <si>
    <t xml:space="preserve">who.int/india | WHO India, New Delhi</t>
  </si>
  <si>
    <t xml:space="preserve">✅ ACTIVE — Vadodara HAP supported</t>
  </si>
  <si>
    <t xml:space="preserve">ADB — Climate-Resilient Health System Programme</t>
  </si>
  <si>
    <t xml:space="preserve">Asian Development Bank | SARD India Division</t>
  </si>
  <si>
    <t xml:space="preserve">Sovereign Loan + TA</t>
  </si>
  <si>
    <t xml:space="preserve">USD 50–150M (programme)
City: USD 10–30M component</t>
  </si>
  <si>
    <t xml:space="preserve">ADB OCR rate ~4.8%
20-yr tenor</t>
  </si>
  <si>
    <t xml:space="preserve">PCRA for health systems; climate-health nexus; ESRS safeguards</t>
  </si>
  <si>
    <t xml:space="preserve">adb.org | DEA nodal; state health dept</t>
  </si>
  <si>
    <t xml:space="preserve">⚡ PIPELINE 2026</t>
  </si>
  <si>
    <t xml:space="preserve">ADAPTATION &amp;
RESILIENCE
(OBJ 2 — GENERAL)</t>
  </si>
  <si>
    <t xml:space="preserve">Adaptation Fund (AF) — Urban Resilience Programme</t>
  </si>
  <si>
    <t xml:space="preserve">Adaptation Fund Board | via NABARD (Accredited NIE)</t>
  </si>
  <si>
    <t xml:space="preserve">Grant</t>
  </si>
  <si>
    <t xml:space="preserve">USD 10–50M per programme
City: USD 5–15M</t>
  </si>
  <si>
    <t xml:space="preserve">Grant — full project cost
No repayment</t>
  </si>
  <si>
    <t xml:space="preserve">UNFCCC Party; PCRA; community-based adaptation; gender equality 30% target</t>
  </si>
  <si>
    <t xml:space="preserve">adaptation-fund.org | NABARD NIE desk; MoEFCC NDA</t>
  </si>
  <si>
    <t xml:space="preserve">✅ OPEN — 2nd call 2025</t>
  </si>
  <si>
    <t xml:space="preserve">NDRF / SDRF — National &amp; State Disaster Risk Reduction Fund</t>
  </si>
  <si>
    <t xml:space="preserve">NDMA / SDMA Gujarat | Home Ministry</t>
  </si>
  <si>
    <t xml:space="preserve">Emergency Grant + Prevention</t>
  </si>
  <si>
    <t xml:space="preserve">₹10,000 Cr NDRF (national)
₹500–2,000 Cr SDRF Gujarat</t>
  </si>
  <si>
    <t xml:space="preserve">Grant — prevention &amp; mitigation window
No repayment</t>
  </si>
  <si>
    <t xml:space="preserve">Disaster risk reduction; flood/cyclone resilience; EWS; vulnerable population</t>
  </si>
  <si>
    <t xml:space="preserve">ndma.gov.in | SDMA Gujarat; Revenue Dept</t>
  </si>
  <si>
    <t xml:space="preserve">✅ OPEN — prevention window</t>
  </si>
  <si>
    <t xml:space="preserve">UNDP — Climate Promise &amp; Urban Resilience Initiative</t>
  </si>
  <si>
    <t xml:space="preserve">UNDP India Country Office | UNDP-GEF Small Grants</t>
  </si>
  <si>
    <t xml:space="preserve">USD 0.5–10M per city</t>
  </si>
  <si>
    <t xml:space="preserve">Grant (TA + seed capital)
Concessional co-financing available</t>
  </si>
  <si>
    <t xml:space="preserve">SDG alignment; climate vulnerability index; inclusive governance; PCRA</t>
  </si>
  <si>
    <t xml:space="preserve">undp.org/india | UNDP India, Lodhi Estate, New Delhi</t>
  </si>
  <si>
    <t xml:space="preserve">GIZ — Indo-German Urban Mee Climate Programme</t>
  </si>
  <si>
    <t xml:space="preserve">GIZ India | German Federal Ministry (BMZ)</t>
  </si>
  <si>
    <t xml:space="preserve">Technical Assistance + Co-financing</t>
  </si>
  <si>
    <t xml:space="preserve">EUR 20–100M (bilateral programme)</t>
  </si>
  <si>
    <t xml:space="preserve">Grant (TA fully funded by Germany)
Concessional co-financing for capex</t>
  </si>
  <si>
    <t xml:space="preserve">Smart cities; climate risk; EU Taxonomy benchmark; local govt capacity</t>
  </si>
  <si>
    <t xml:space="preserve">giz.de/india | GIZ India, New Delhi; BMZ India programme</t>
  </si>
  <si>
    <t xml:space="preserve">✅ ACTIVE — 2024–28 phase</t>
  </si>
  <si>
    <t xml:space="preserve">SIDBI — SIDBI Green Finance Facility (SGFF)</t>
  </si>
  <si>
    <t xml:space="preserve">Small Industries Development Bank of India | Green Finance Desk</t>
  </si>
  <si>
    <t xml:space="preserve">Concessional Loan + TA</t>
  </si>
  <si>
    <t xml:space="preserve">₹10,000 Cr facility
₹5–500 Cr per project</t>
  </si>
  <si>
    <t xml:space="preserve">9.0–10.0% p.a. (below market)
15-yr tenor; moratorium 2 yrs</t>
  </si>
  <si>
    <t xml:space="preserve">IFC Performance Standards; EU Taxonomy alignment preferred; DNSH documentation</t>
  </si>
  <si>
    <t xml:space="preserve">sidbi.in | SIDBI HO Lucknow; Mumbai Green Finance Desk</t>
  </si>
  <si>
    <t xml:space="preserve">Smart Cities Mission — Climate Resilience Component</t>
  </si>
  <si>
    <t xml:space="preserve">MoHUA Smart Cities Mission | Smart City Vadodara SPV</t>
  </si>
  <si>
    <t xml:space="preserve">Central + State + Convergence</t>
  </si>
  <si>
    <t xml:space="preserve">₹48,000 Cr (national)
₹200–1,000 Cr per smart city</t>
  </si>
  <si>
    <t xml:space="preserve">Grant + ULB own funds
No repayment on central share</t>
  </si>
  <si>
    <t xml:space="preserve">Smart Cities shortlisted ULBs; climate co-benefit mandatory for FY26</t>
  </si>
  <si>
    <t xml:space="preserve">smartcities.gov.in | Smart City CEO Vadodara; MoHUA</t>
  </si>
  <si>
    <t xml:space="preserve">✅ ACTIVE — Vadodara shortlisted</t>
  </si>
  <si>
    <t xml:space="preserve">EIB — Climate Resilience Bond (Global Portfolio)</t>
  </si>
  <si>
    <t xml:space="preserve">European Investment Bank | EIB Global Division</t>
  </si>
  <si>
    <t xml:space="preserve">Climate Awareness Bond / Sovereign Loan</t>
  </si>
  <si>
    <t xml:space="preserve">EUR 500M–2B (programme-level)
City: via sovereign</t>
  </si>
  <si>
    <t xml:space="preserve">EIB preferential: ~3.5–4.5%
25-yr tenor</t>
  </si>
  <si>
    <t xml:space="preserve">EU Taxonomy alignment mandatory; PCRA; DNSH documentation; national govt guarantee</t>
  </si>
  <si>
    <t xml:space="preserve">eib.org | EIB India contact via DEA / MoF</t>
  </si>
  <si>
    <t xml:space="preserve">⚡ VMC indirect — via GoI sovereign</t>
  </si>
  <si>
    <t xml:space="preserve">NaBFID — National Bank for Financing Infrastructure &amp; Development</t>
  </si>
  <si>
    <t xml:space="preserve">NaBFID | Ministry of Finance | Board: ICICI/SBI/HDFC nominees</t>
  </si>
  <si>
    <t xml:space="preserve">Infrastructure Bond / Loan</t>
  </si>
  <si>
    <t xml:space="preserve">₹1,00,000 Cr capitalisation
₹50–2,000 Cr per project</t>
  </si>
  <si>
    <t xml:space="preserve">8.5–9.5% p.a.
25–30 yr tenor for climate infra</t>
  </si>
  <si>
    <t xml:space="preserve">National importance; climate resilience component; SEBI bond-eligible</t>
  </si>
  <si>
    <t xml:space="preserve">nabfid.org | NaBFID HO, Mumbai; project appraisal desk</t>
  </si>
  <si>
    <t xml:space="preserve">✅ OPEN — FY26 priority list</t>
  </si>
  <si>
    <t xml:space="preserve">CBI — CBRT Pre-Issuance Assessment &amp; Certification</t>
  </si>
  <si>
    <t xml:space="preserve">Climate Bonds Initiative | India Office</t>
  </si>
  <si>
    <t xml:space="preserve">Technical Assistance + Certification</t>
  </si>
  <si>
    <t xml:space="preserve">Service fee: USD 10,000–50,000
No capital</t>
  </si>
  <si>
    <t xml:space="preserve">Fee-based service
CBRT certification unlocks investor access</t>
  </si>
  <si>
    <t xml:space="preserve">CBRT-aligned projects; TSC + DNSH; VMC institutional capacity</t>
  </si>
  <si>
    <t xml:space="preserve">climatebonds.net/india | CBI India team</t>
  </si>
  <si>
    <t xml:space="preserve">✅ AVAILABLE — apply directly</t>
  </si>
  <si>
    <t xml:space="preserve">CAPITAL STACK BUILDER — VMC RESILIENCE PROJECTS</t>
  </si>
  <si>
    <t xml:space="preserve">Project-level capital mobilisation: Grant + Concessional + Commercial + Bond | Named instruments per layer | Total project financing structure</t>
  </si>
  <si>
    <t xml:space="preserve">GRANTS
(0% — no repayment)</t>
  </si>
  <si>
    <t xml:space="preserve">National govt schemes, GCF, AF, bilateral TA</t>
  </si>
  <si>
    <t xml:space="preserve">CONCESSIONAL LOANS
(&lt;market rate, long tenor)</t>
  </si>
  <si>
    <t xml:space="preserve">ADB, KfW, World Bank IBRD, NaBFID, SIDBI SGFF</t>
  </si>
  <si>
    <t xml:space="preserve">COMMERCIAL DEBT
(market rate)</t>
  </si>
  <si>
    <t xml:space="preserve">SBI, HDFC, ICICI project finance; NCD; municipal bond</t>
  </si>
  <si>
    <t xml:space="preserve">EQUITY / OWN FUNDS
(VMC budget)</t>
  </si>
  <si>
    <t xml:space="preserve">VMC own revenues, ULBAS, state grants</t>
  </si>
  <si>
    <t xml:space="preserve">Project Name</t>
  </si>
  <si>
    <t xml:space="preserve">Total
Cost (₹Cr)</t>
  </si>
  <si>
    <t xml:space="preserve">Grant
Amount
(₹Cr)</t>
  </si>
  <si>
    <t xml:space="preserve">Grant Source
(Named Instrument)</t>
  </si>
  <si>
    <t xml:space="preserve">Concessional
Loan (₹Cr)</t>
  </si>
  <si>
    <t xml:space="preserve">Concessional
Lender (Named)</t>
  </si>
  <si>
    <t xml:space="preserve">Comm.
Debt (₹Cr)</t>
  </si>
  <si>
    <t xml:space="preserve">Commercial
Lender / Bond</t>
  </si>
  <si>
    <t xml:space="preserve">Own
Funds (₹Cr)</t>
  </si>
  <si>
    <t xml:space="preserve">Total
Mobilised</t>
  </si>
  <si>
    <t xml:space="preserve">Funding
Gap (₹Cr)</t>
  </si>
  <si>
    <t xml:space="preserve">Status</t>
  </si>
  <si>
    <t xml:space="preserve">Vishwamitri Flood Control
(River Dredging, Phase 1)</t>
  </si>
  <si>
    <t xml:space="preserve">NMCG ₹50Cr + NDRF ₹35Cr</t>
  </si>
  <si>
    <t xml:space="preserve">ADB UCRP ₹100Cr + World Bank NFURMP ₹40Cr</t>
  </si>
  <si>
    <t xml:space="preserve">SBI Project Finance Term Loan</t>
  </si>
  <si>
    <t xml:space="preserve">Ready — ADB pre-feasibility done</t>
  </si>
  <si>
    <t xml:space="preserve">Stormwater Drainage
(City-wide, 180km)</t>
  </si>
  <si>
    <t xml:space="preserve">AMRUT 2.0 ₹120Cr (central grant)</t>
  </si>
  <si>
    <t xml:space="preserve">KfW Urban Water Programme EUR-linked ₹200Cr</t>
  </si>
  <si>
    <t xml:space="preserve">VMC Blue Bond (SEBI GSS+) ₹50Cr tranche</t>
  </si>
  <si>
    <t xml:space="preserve">Bond prospectus ready</t>
  </si>
  <si>
    <t xml:space="preserve">Water Supply &amp; Treatment
(Phase 3 expansion)</t>
  </si>
  <si>
    <t xml:space="preserve">National Water Mission ₹80Cr</t>
  </si>
  <si>
    <t xml:space="preserve">ADB UCRP ₹200Cr (sovereign loan via DEA)</t>
  </si>
  <si>
    <t xml:space="preserve">NaBFID Infrastructure Loan ₹60Cr</t>
  </si>
  <si>
    <t xml:space="preserve">Term sheet stage</t>
  </si>
  <si>
    <t xml:space="preserve">Solar Energy — 20MW
Municipal Rooftop</t>
  </si>
  <si>
    <t xml:space="preserve">PM Surya Ghar subsidy ₹35Cr + GCF ₹20Cr</t>
  </si>
  <si>
    <t xml:space="preserve">IREDA Term Loan ₹80Cr @ 9.2%</t>
  </si>
  <si>
    <t xml:space="preserve">IFC SUNREF via SIDBI ₹30Cr</t>
  </si>
  <si>
    <t xml:space="preserve">MNRE approval received</t>
  </si>
  <si>
    <t xml:space="preserve">Urban Greening
(7.2 Lakh Trees, 17%→21%)</t>
  </si>
  <si>
    <t xml:space="preserve">Green India Mission / CAMPA ₹60Cr</t>
  </si>
  <si>
    <t xml:space="preserve">UNDP Urban Resilience ₹30Cr (USD grant+loan)</t>
  </si>
  <si>
    <t xml:space="preserve">GIM application submitted</t>
  </si>
  <si>
    <t xml:space="preserve">PHC Climate Resilience
(40 PHCs + 72 Urban HCs)</t>
  </si>
  <si>
    <t xml:space="preserve">NHM Gujarat ₹87Cr (60:40 central:state)</t>
  </si>
  <si>
    <t xml:space="preserve">ADB Health System Programme ₹40Cr</t>
  </si>
  <si>
    <t xml:space="preserve">NHM sanction in progress</t>
  </si>
  <si>
    <t xml:space="preserve">Rainwater Harvesting
&amp; Lake Restoration</t>
  </si>
  <si>
    <t xml:space="preserve">National Water Mission ₹30Cr</t>
  </si>
  <si>
    <t xml:space="preserve">KfW Water Programme ₹45Cr</t>
  </si>
  <si>
    <t xml:space="preserve">Pre-DPR stage</t>
  </si>
  <si>
    <t xml:space="preserve">LED Street Lighting
(20,000+ fittings)</t>
  </si>
  <si>
    <t xml:space="preserve">EESL RESCO (₹68Cr, zero-capex)</t>
  </si>
  <si>
    <t xml:space="preserve">EESL LOI signed — no upfront cost</t>
  </si>
  <si>
    <t xml:space="preserve">Non-Motorised Transport
&amp; Pedestrian Paths</t>
  </si>
  <si>
    <t xml:space="preserve">Smart Cities Mission ₹35Cr (convergence)</t>
  </si>
  <si>
    <t xml:space="preserve">GIZ Indo-German Urban Programme ₹30Cr (TA+)</t>
  </si>
  <si>
    <t xml:space="preserve">Smart City DPR approved</t>
  </si>
  <si>
    <t xml:space="preserve">Backup Power
(Critical Infra — 48 sites)</t>
  </si>
  <si>
    <t xml:space="preserve">NDRF Prevention Window ₹15Cr</t>
  </si>
  <si>
    <t xml:space="preserve">SIDBI SGFF ₹20Cr @ 9.0%</t>
  </si>
  <si>
    <t xml:space="preserve">DPR under preparation</t>
  </si>
  <si>
    <t xml:space="preserve">VMC Resilience Bond
(Full Programme Framework)</t>
  </si>
  <si>
    <t xml:space="preserve">VMC Bond (SEBI GSS+ / CBRT / EU Taxonomy-aligned)
Arrangers: Axis Capital + SBI CAPS</t>
  </si>
  <si>
    <t xml:space="preserve">Phase 2 target — 2026 issuance</t>
  </si>
  <si>
    <t xml:space="preserve">[New Project — Enter Name]</t>
  </si>
  <si>
    <t xml:space="preserve">[AMRUT / NHM / GCF / AF / NWM / Green India Mission / NDRF — specify]</t>
  </si>
  <si>
    <t xml:space="preserve">[ADB / KfW / World Bank / SIDBI / NaBFID — specify terms]</t>
  </si>
  <si>
    <t xml:space="preserve">[SBI / NaBFID / ICICI / VMC Bond — specify]</t>
  </si>
  <si>
    <t xml:space="preserve">[Auto-calculates]</t>
  </si>
  <si>
    <t xml:space="preserve">TOTAL PROGRAMME</t>
  </si>
  <si>
    <t xml:space="preserve">EU TAXONOMY ALIGNMENT — GAP ANALYSIS &amp; 18-MONTH ACTION ROADMAP</t>
  </si>
  <si>
    <t xml:space="preserve">Priority actions to achieve full EU Taxonomy alignment for VMC resilience portfolio and enable CBRT-aligned bond issuance</t>
  </si>
  <si>
    <t xml:space="preserve">SECTION A — KEY GAPS IN EU TAXONOMY ALIGNMENT</t>
  </si>
  <si>
    <t xml:space="preserve">Gap Description</t>
  </si>
  <si>
    <t xml:space="preserve">EU Taxonomy
Requirement</t>
  </si>
  <si>
    <t xml:space="preserve">Current VMC
Status</t>
  </si>
  <si>
    <t xml:space="preserve">Impact on
Eligibility</t>
  </si>
  <si>
    <t xml:space="preserve">Priority</t>
  </si>
  <si>
    <t xml:space="preserve">Recommended Action</t>
  </si>
  <si>
    <t xml:space="preserve">Timeline</t>
  </si>
  <si>
    <t xml:space="preserve">No Physical Climate Risk Assessment (PCRA) for full VMC portfolio</t>
  </si>
  <si>
    <t xml:space="preserve">Mandatory for ALL CCA activities (Annex II); required per Art 9 Delegated Act</t>
  </si>
  <si>
    <t xml:space="preserve">Only partial — August 2024 flood event used as proxy; no systematic PCRA</t>
  </si>
  <si>
    <t xml:space="preserve">HIGH — Without PCRA, CCA activities cannot be certified EU Taxonomy aligned</t>
  </si>
  <si>
    <t xml:space="preserve">🔴 CRITICAL</t>
  </si>
  <si>
    <t xml:space="preserve">Commission city-level PCRA (GIZ / TERI / CEPT); cover flood, heat, drought hazards; 2050 &amp; 2070 projections; use IPCC AR6 + IMD data</t>
  </si>
  <si>
    <t xml:space="preserve">0–6 months</t>
  </si>
  <si>
    <t xml:space="preserve">No EU Taxonomy Framework / SPO appointed</t>
  </si>
  <si>
    <t xml:space="preserve">Green Bond Standard requires pre-issuance SPO confirming taxonomy alignment</t>
  </si>
  <si>
    <t xml:space="preserve">VMC Blue Bond has no SPO; no EU GBS or ICMA GBP framework document</t>
  </si>
  <si>
    <t xml:space="preserve">HIGH — Bond cannot claim EU Taxonomy alignment without SPO + framework</t>
  </si>
  <si>
    <t xml:space="preserve">Appoint Second Party Opinion provider (Sustainalytics / CICERO / Vigeo); draft VMC Green Finance Framework; align to ICMA GBP + EU GBS</t>
  </si>
  <si>
    <t xml:space="preserve">0–4 months</t>
  </si>
  <si>
    <t xml:space="preserve">DNSH documentation gaps across 8 projects</t>
  </si>
  <si>
    <t xml:space="preserve">DNSH must be documented for all 5 other objectives per activity</t>
  </si>
  <si>
    <t xml:space="preserve">DNSH reviewed at high level; project-level DNSH reports not prepared</t>
  </si>
  <si>
    <t xml:space="preserve">MEDIUM — Partial eligibility only until DNSH reports completed</t>
  </si>
  <si>
    <t xml:space="preserve">🟠 HIGH</t>
  </si>
  <si>
    <t xml:space="preserve">Use Sheet 4 (TSC + DNSH Screening) to complete per-project DNSH reports; prioritise Tier 1 projects; engage environmental consultant</t>
  </si>
  <si>
    <t xml:space="preserve">3–9 months</t>
  </si>
  <si>
    <t xml:space="preserve">No Minimum Social Safeguards (MSS) Policy</t>
  </si>
  <si>
    <t xml:space="preserve">ILO Core Labour Standards + UNGP Business &amp; Human Rights — documented policy required</t>
  </si>
  <si>
    <t xml:space="preserve">ILO compliance in practice but no written MSS policy for VMC</t>
  </si>
  <si>
    <t xml:space="preserve">MEDIUM — Blocks EU institutional investor eligibility for ESG/SFDR funds</t>
  </si>
  <si>
    <t xml:space="preserve">Draft VMC Social &amp; Labour Standards Policy; include grievance mechanism; gender equity targets; community consultation protocol</t>
  </si>
  <si>
    <t xml:space="preserve">2–5 months</t>
  </si>
  <si>
    <t xml:space="preserve">No T4 (Agriculture/Food) or complete T5 (Health) coverage</t>
  </si>
  <si>
    <t xml:space="preserve">EU Taxonomy OBJ 2 includes food systems and community health resilience</t>
  </si>
  <si>
    <t xml:space="preserve">Zero budget for peri-urban food system resilience; health only partially covered</t>
  </si>
  <si>
    <t xml:space="preserve">LOW-MEDIUM — Coverage gap limits comprehensiveness of adaptation portfolio</t>
  </si>
  <si>
    <t xml:space="preserve">🟡 MEDIUM</t>
  </si>
  <si>
    <t xml:space="preserve">Add ₹25–50Cr peri-urban food resilience line to FY27 budget; expand PHC climate-proofing to include Heat Action Plan infrastructure</t>
  </si>
  <si>
    <t xml:space="preserve">6–18 months</t>
  </si>
  <si>
    <t xml:space="preserve">No climate budget tagging system</t>
  </si>
  <si>
    <t xml:space="preserve">EU Taxonomy reporting requires expenditure clearly tagged by objective and activity code</t>
  </si>
  <si>
    <t xml:space="preserve">No formal climate budget tagging in VMC accounts</t>
  </si>
  <si>
    <t xml:space="preserve">MEDIUM — Makes ongoing compliance and reporting difficult for bond investors</t>
  </si>
  <si>
    <t xml:space="preserve">Implement climate budget tagging in SAP/accounting system; assign EU activity codes to all eligible line items; quarterly reporting</t>
  </si>
  <si>
    <t xml:space="preserve">Carbon footprint / GHG baseline not established</t>
  </si>
  <si>
    <t xml:space="preserve">OBJ 1 Mitigation activities require lifecycle GHG intensity data</t>
  </si>
  <si>
    <t xml:space="preserve">No city-level GHG inventory; no lifecycle assessment for solar PV or transport</t>
  </si>
  <si>
    <t xml:space="preserve">MEDIUM — Affects OBJ 1 activities (solar, LED, transport); co-benefit claims</t>
  </si>
  <si>
    <t xml:space="preserve">Commission Vadodara City GHG Inventory (GPC Protocol); lifecycle GHG for solar and LED projects; link to SEBI BRSR reporting</t>
  </si>
  <si>
    <t xml:space="preserve">6–12 months</t>
  </si>
  <si>
    <t xml:space="preserve">SECTION B — 18-MONTH ROADMAP TO EU TAXONOMY-ALIGNED BOND</t>
  </si>
  <si>
    <t xml:space="preserve">Phase</t>
  </si>
  <si>
    <t xml:space="preserve">Key Actions</t>
  </si>
  <si>
    <t xml:space="preserve">Responsible
Party</t>
  </si>
  <si>
    <t xml:space="preserve">Output / Deliverable</t>
  </si>
  <si>
    <t xml:space="preserve">Finance
Instrument Targeted</t>
  </si>
  <si>
    <t xml:space="preserve">PHASE 1
Foundation</t>
  </si>
  <si>
    <t xml:space="preserve">Month 1–3</t>
  </si>
  <si>
    <t xml:space="preserve">1. Appoint SPO (Sustainalytics/CICERO)
2. Draft VMC Green Finance Framework
3. Commission Vadodara PCRA
4. Establish VMC Climate Finance Committee
5. Map budget lines to EU Taxonomy (use this tool)</t>
  </si>
  <si>
    <t xml:space="preserve">VMC Commissioner + CBI India + GIZ</t>
  </si>
  <si>
    <t xml:space="preserve">Green Finance Framework v1.0
PCRA Terms of Reference
SPO LOI signed</t>
  </si>
  <si>
    <t xml:space="preserve">GIZ TA (free) + MoHUA advisory</t>
  </si>
  <si>
    <t xml:space="preserve">⚪ NOT STARTED</t>
  </si>
  <si>
    <t xml:space="preserve">PHASE 2
Screening</t>
  </si>
  <si>
    <t xml:space="preserve">Month 3–8</t>
  </si>
  <si>
    <t xml:space="preserve">1. Complete TSC + DNSH + MSS screening per Sheet 4
2. City-level PCRA completed and published
3. Climate budget tagging in VMC accounts
4. GHG inventory (GPC Protocol) commissioned
5. Pre-issuance SPO assessment received</t>
  </si>
  <si>
    <t xml:space="preserve">VMC + TERI/CEPT (PCRA) + SPO provider</t>
  </si>
  <si>
    <t xml:space="preserve">PCRA Report
DNSH Reports for 10 priority projects
SPO Pre-issuance Opinion</t>
  </si>
  <si>
    <t xml:space="preserve">ADB TA + UNDP TA + Smart Cities TA</t>
  </si>
  <si>
    <t xml:space="preserve">PHASE 3
Capital Raise</t>
  </si>
  <si>
    <t xml:space="preserve">Month 6–12</t>
  </si>
  <si>
    <t xml:space="preserve">1. DPRs for Tier 1 projects (Vishwamitri, drainage, water)
2. ADB/KfW/World Bank pre-appraisal missions invited
3. VMC bond prospectus updated (CBRT + EU aligned)
4. Investor roadshow (DFIs + ESG funds)
5. NaBFID / SIDBI term sheets for concessional debt</t>
  </si>
  <si>
    <t xml:space="preserve">VMC Finance Dept + Axis Capital / SBI CAPS (arrangers)</t>
  </si>
  <si>
    <t xml:space="preserve">DPRs (3 Tier 1 projects)
Bond prospectus v2
Investor presentation deck</t>
  </si>
  <si>
    <t xml:space="preserve">VMC Bond ₹500–750Cr
ADB sovereign loan
KfW concessional</t>
  </si>
  <si>
    <t xml:space="preserve">PHASE 4
Issuance &amp; Reporting</t>
  </si>
  <si>
    <t xml:space="preserve">Month 9–18</t>
  </si>
  <si>
    <t xml:space="preserve">1. Bond issuance — CBRT + EU Taxonomy aligned ₹500–750Cr
2. First-year Impact Report (ICMA Harmonised Reporting)
3. Post-issuance SPO verification
4. SEBI GSS+ annual disclosure
5. Scale to Phase 2 bond (₹1,500Cr target)</t>
  </si>
  <si>
    <t xml:space="preserve">VMC + CBI + Axis Capital + Sustainalytics</t>
  </si>
  <si>
    <t xml:space="preserve">Bond Issuance Prospectus
Impact Report Year 1
Post-issuance SPO</t>
  </si>
  <si>
    <t xml:space="preserve">VMC Bond Phase 2
EIB / EU investors
SFDR Art 9 funds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</si>
</sst>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%"/>
    <numFmt numFmtId="167" formatCode="0.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2"/>
      <color rgb="FFFFC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B71C1C"/>
      <name val="Arial"/>
      <family val="0"/>
      <charset val="1"/>
    </font>
    <font>
      <sz val="8"/>
      <color rgb="FF004D40"/>
      <name val="Arial"/>
      <family val="0"/>
      <charset val="1"/>
    </font>
    <font>
      <sz val="8"/>
      <color rgb="FF37474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4D40"/>
      <name val="Arial"/>
      <family val="0"/>
      <charset val="1"/>
    </font>
    <font>
      <b val="true"/>
      <sz val="13"/>
      <color rgb="FF0D2240"/>
      <name val="Arial"/>
      <family val="0"/>
      <charset val="1"/>
    </font>
    <font>
      <b val="true"/>
      <sz val="12"/>
      <color rgb="FF0D224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9"/>
      <color rgb="FFE651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0D2240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003399"/>
        <bgColor rgb="FF0D2240"/>
      </patternFill>
    </fill>
    <fill>
      <patternFill patternType="solid">
        <fgColor rgb="FF0D2240"/>
        <bgColor rgb="FF0A1931"/>
      </patternFill>
    </fill>
    <fill>
      <patternFill patternType="solid">
        <fgColor rgb="FF1565C0"/>
        <bgColor rgb="FF3366FF"/>
      </patternFill>
    </fill>
    <fill>
      <patternFill patternType="solid">
        <fgColor rgb="FF37474F"/>
        <bgColor rgb="FF4D4033"/>
      </patternFill>
    </fill>
    <fill>
      <patternFill patternType="solid">
        <fgColor rgb="FFE3F2FD"/>
        <bgColor rgb="FFE0F2F1"/>
      </patternFill>
    </fill>
    <fill>
      <patternFill patternType="solid">
        <fgColor rgb="FF004D40"/>
        <bgColor rgb="FF1B5E20"/>
      </patternFill>
    </fill>
    <fill>
      <patternFill patternType="solid">
        <fgColor rgb="FFFFFFFF"/>
        <bgColor rgb="FFFFF8E1"/>
      </patternFill>
    </fill>
    <fill>
      <patternFill patternType="solid">
        <fgColor rgb="FF1B5E20"/>
        <bgColor rgb="FF33691E"/>
      </patternFill>
    </fill>
    <fill>
      <patternFill patternType="solid">
        <fgColor rgb="FFE8F5E9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33691E"/>
        <bgColor rgb="FF1B5E20"/>
      </patternFill>
    </fill>
    <fill>
      <patternFill patternType="solid">
        <fgColor rgb="FFE65100"/>
        <bgColor rgb="FFB71C1C"/>
      </patternFill>
    </fill>
    <fill>
      <patternFill patternType="solid">
        <fgColor rgb="FFFFF8E1"/>
        <bgColor rgb="FFFFFFFF"/>
      </patternFill>
    </fill>
    <fill>
      <patternFill patternType="solid">
        <fgColor rgb="FFA5D6A7"/>
        <bgColor rgb="FFB2DFDB"/>
      </patternFill>
    </fill>
    <fill>
      <patternFill patternType="solid">
        <fgColor rgb="FF2E7D32"/>
        <bgColor rgb="FF33691E"/>
      </patternFill>
    </fill>
    <fill>
      <patternFill patternType="solid">
        <fgColor rgb="FFFFCDD2"/>
        <bgColor rgb="FFFFE0B2"/>
      </patternFill>
    </fill>
    <fill>
      <patternFill patternType="solid">
        <fgColor rgb="FFECEFF1"/>
        <bgColor rgb="FFE8F5E9"/>
      </patternFill>
    </fill>
    <fill>
      <patternFill patternType="solid">
        <fgColor rgb="FFFFE0B2"/>
        <bgColor rgb="FFFFCDD2"/>
      </patternFill>
    </fill>
    <fill>
      <patternFill patternType="solid">
        <fgColor rgb="FF78909C"/>
        <bgColor rgb="FF969696"/>
      </patternFill>
    </fill>
    <fill>
      <patternFill patternType="solid">
        <fgColor rgb="FFFFCC00"/>
        <bgColor rgb="FFFFD600"/>
      </patternFill>
    </fill>
    <fill>
      <patternFill patternType="solid">
        <fgColor rgb="FF4A148C"/>
        <bgColor rgb="FF510033"/>
      </patternFill>
    </fill>
    <fill>
      <patternFill patternType="solid">
        <fgColor rgb="FF0A1931"/>
        <bgColor rgb="FF0D2240"/>
      </patternFill>
    </fill>
    <fill>
      <patternFill patternType="solid">
        <fgColor rgb="FFBBDEFB"/>
        <bgColor rgb="FFB2DFDB"/>
      </patternFill>
    </fill>
    <fill>
      <patternFill patternType="solid">
        <fgColor rgb="FFB2DFDB"/>
        <bgColor rgb="FFBBDEFB"/>
      </patternFill>
    </fill>
    <fill>
      <patternFill patternType="solid">
        <fgColor rgb="FF880E4F"/>
        <bgColor rgb="FF800080"/>
      </patternFill>
    </fill>
    <fill>
      <patternFill patternType="solid">
        <fgColor rgb="FFFCE4EC"/>
        <bgColor rgb="FFECEFF1"/>
      </patternFill>
    </fill>
    <fill>
      <patternFill patternType="solid">
        <fgColor rgb="FF7D3233"/>
        <bgColor rgb="FF993366"/>
      </patternFill>
    </fill>
    <fill>
      <patternFill patternType="solid">
        <fgColor rgb="FF4D4033"/>
        <bgColor rgb="FF37474F"/>
      </patternFill>
    </fill>
    <fill>
      <patternFill patternType="solid">
        <fgColor rgb="FF65C033"/>
        <bgColor rgb="FF78909C"/>
      </patternFill>
    </fill>
    <fill>
      <patternFill patternType="solid">
        <fgColor rgb="FF510033"/>
        <bgColor rgb="FF800000"/>
      </patternFill>
    </fill>
    <fill>
      <patternFill patternType="solid">
        <fgColor rgb="FFFFD6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2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4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5" fillId="1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6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7" fillId="1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7" fillId="3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21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D600"/>
      <rgbColor rgb="FFFF00FF"/>
      <rgbColor rgb="FF00FFFF"/>
      <rgbColor rgb="FF800000"/>
      <rgbColor rgb="FF1B5E20"/>
      <rgbColor rgb="FF0A1931"/>
      <rgbColor rgb="FF808000"/>
      <rgbColor rgb="FF880E4F"/>
      <rgbColor rgb="FF004D40"/>
      <rgbColor rgb="FFA5D6A7"/>
      <rgbColor rgb="FF78909C"/>
      <rgbColor rgb="FF9999FF"/>
      <rgbColor rgb="FF7D3233"/>
      <rgbColor rgb="FFFFF8E1"/>
      <rgbColor rgb="FFE0F2F1"/>
      <rgbColor rgb="FF510033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33691E"/>
      <rgbColor rgb="FF0000FF"/>
      <rgbColor rgb="FF00CCFF"/>
      <rgbColor rgb="FFE3F2FD"/>
      <rgbColor rgb="FFE8F5E9"/>
      <rgbColor rgb="FFECEFF1"/>
      <rgbColor rgb="FFB2DFDB"/>
      <rgbColor rgb="FFFFCDD2"/>
      <rgbColor rgb="FFFCE4EC"/>
      <rgbColor rgb="FFFFE0B2"/>
      <rgbColor rgb="FF3366FF"/>
      <rgbColor rgb="FF33CCCC"/>
      <rgbColor rgb="FF65C033"/>
      <rgbColor rgb="FFFFCC00"/>
      <rgbColor rgb="FFFF9900"/>
      <rgbColor rgb="FFE65100"/>
      <rgbColor rgb="FF666699"/>
      <rgbColor rgb="FF969696"/>
      <rgbColor rgb="FF003399"/>
      <rgbColor rgb="FF2E7D32"/>
      <rgbColor rgb="FF0D2240"/>
      <rgbColor rgb="FF37474F"/>
      <rgbColor rgb="FFB71C1C"/>
      <rgbColor rgb="FF993366"/>
      <rgbColor rgb="FF4A148C"/>
      <rgbColor rgb="FF4D4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4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true" outlineLevel="0" collapsed="false">
      <c r="B7" s="4" t="s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8" hidden="false" customHeight="true" outlineLevel="0" collapsed="false"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</row>
    <row r="9" customFormat="false" ht="15" hidden="false" customHeight="true" outlineLevel="0" collapsed="false">
      <c r="B9" s="6" t="s">
        <v>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36" hidden="false" customHeight="true" outlineLevel="0" collapsed="false">
      <c r="B10" s="7" t="s">
        <v>5</v>
      </c>
      <c r="C10" s="7"/>
      <c r="D10" s="8" t="s">
        <v>6</v>
      </c>
      <c r="E10" s="8"/>
      <c r="F10" s="8"/>
      <c r="G10" s="8"/>
      <c r="H10" s="8"/>
      <c r="I10" s="8"/>
      <c r="J10" s="8"/>
      <c r="K10" s="8"/>
      <c r="L10" s="8"/>
      <c r="M10" s="8"/>
    </row>
    <row r="11" customFormat="false" ht="36" hidden="false" customHeight="true" outlineLevel="0" collapsed="false">
      <c r="B11" s="7" t="s">
        <v>7</v>
      </c>
      <c r="C11" s="7"/>
      <c r="D11" s="8" t="s">
        <v>8</v>
      </c>
      <c r="E11" s="8"/>
      <c r="F11" s="8"/>
      <c r="G11" s="8"/>
      <c r="H11" s="8"/>
      <c r="I11" s="8"/>
      <c r="J11" s="8"/>
      <c r="K11" s="8"/>
      <c r="L11" s="8"/>
      <c r="M11" s="8"/>
    </row>
    <row r="12" customFormat="false" ht="36" hidden="false" customHeight="true" outlineLevel="0" collapsed="false">
      <c r="B12" s="7" t="s">
        <v>9</v>
      </c>
      <c r="C12" s="7"/>
      <c r="D12" s="8" t="s">
        <v>10</v>
      </c>
      <c r="E12" s="8"/>
      <c r="F12" s="8"/>
      <c r="G12" s="8"/>
      <c r="H12" s="8"/>
      <c r="I12" s="8"/>
      <c r="J12" s="8"/>
      <c r="K12" s="8"/>
      <c r="L12" s="8"/>
      <c r="M12" s="8"/>
    </row>
    <row r="13" customFormat="false" ht="36" hidden="false" customHeight="true" outlineLevel="0" collapsed="false">
      <c r="B13" s="7" t="s">
        <v>11</v>
      </c>
      <c r="C13" s="7"/>
      <c r="D13" s="8" t="s">
        <v>12</v>
      </c>
      <c r="E13" s="8"/>
      <c r="F13" s="8"/>
      <c r="G13" s="8"/>
      <c r="H13" s="8"/>
      <c r="I13" s="8"/>
      <c r="J13" s="8"/>
      <c r="K13" s="8"/>
      <c r="L13" s="8"/>
      <c r="M13" s="8"/>
    </row>
    <row r="14" customFormat="false" ht="36" hidden="false" customHeight="true" outlineLevel="0" collapsed="false">
      <c r="B14" s="7" t="s">
        <v>13</v>
      </c>
      <c r="C14" s="7"/>
      <c r="D14" s="8" t="s">
        <v>14</v>
      </c>
      <c r="E14" s="8"/>
      <c r="F14" s="8"/>
      <c r="G14" s="8"/>
      <c r="H14" s="8"/>
      <c r="I14" s="8"/>
      <c r="J14" s="8"/>
      <c r="K14" s="8"/>
      <c r="L14" s="8"/>
      <c r="M14" s="8"/>
    </row>
    <row r="16" customFormat="false" ht="15" hidden="false" customHeight="true" outlineLevel="0" collapsed="false">
      <c r="B16" s="6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" hidden="false" customHeight="true" outlineLevel="0" collapsed="false">
      <c r="B17" s="9" t="s">
        <v>16</v>
      </c>
      <c r="C17" s="9" t="s">
        <v>17</v>
      </c>
      <c r="D17" s="9" t="s">
        <v>18</v>
      </c>
      <c r="E17" s="9" t="s">
        <v>19</v>
      </c>
      <c r="F17" s="9" t="s">
        <v>20</v>
      </c>
    </row>
    <row r="18" customFormat="false" ht="27.75" hidden="false" customHeight="true" outlineLevel="0" collapsed="false">
      <c r="B18" s="10" t="s">
        <v>21</v>
      </c>
      <c r="C18" s="11" t="s">
        <v>22</v>
      </c>
      <c r="D18" s="11" t="s">
        <v>23</v>
      </c>
      <c r="E18" s="11" t="s">
        <v>24</v>
      </c>
      <c r="F18" s="11" t="s">
        <v>25</v>
      </c>
    </row>
    <row r="19" customFormat="false" ht="27.75" hidden="false" customHeight="true" outlineLevel="0" collapsed="false">
      <c r="B19" s="12" t="s">
        <v>26</v>
      </c>
      <c r="C19" s="8" t="s">
        <v>27</v>
      </c>
      <c r="D19" s="8" t="s">
        <v>28</v>
      </c>
      <c r="E19" s="8" t="s">
        <v>29</v>
      </c>
      <c r="F19" s="8" t="s">
        <v>30</v>
      </c>
    </row>
    <row r="20" customFormat="false" ht="27.75" hidden="false" customHeight="true" outlineLevel="0" collapsed="false">
      <c r="B20" s="10" t="s">
        <v>31</v>
      </c>
      <c r="C20" s="11" t="s">
        <v>32</v>
      </c>
      <c r="D20" s="11" t="s">
        <v>33</v>
      </c>
      <c r="E20" s="11" t="s">
        <v>34</v>
      </c>
      <c r="F20" s="11" t="s">
        <v>35</v>
      </c>
    </row>
    <row r="21" customFormat="false" ht="27.75" hidden="false" customHeight="true" outlineLevel="0" collapsed="false">
      <c r="B21" s="12" t="s">
        <v>36</v>
      </c>
      <c r="C21" s="8" t="s">
        <v>37</v>
      </c>
      <c r="D21" s="8" t="s">
        <v>38</v>
      </c>
      <c r="E21" s="8" t="s">
        <v>39</v>
      </c>
      <c r="F21" s="8" t="s">
        <v>40</v>
      </c>
    </row>
    <row r="22" customFormat="false" ht="27.75" hidden="false" customHeight="true" outlineLevel="0" collapsed="false">
      <c r="B22" s="10" t="s">
        <v>41</v>
      </c>
      <c r="C22" s="11" t="s">
        <v>42</v>
      </c>
      <c r="D22" s="11" t="s">
        <v>43</v>
      </c>
      <c r="E22" s="11" t="s">
        <v>44</v>
      </c>
      <c r="F22" s="11" t="s">
        <v>45</v>
      </c>
    </row>
    <row r="23" customFormat="false" ht="27.75" hidden="false" customHeight="true" outlineLevel="0" collapsed="false">
      <c r="B23" s="12" t="s">
        <v>45</v>
      </c>
      <c r="C23" s="8" t="s">
        <v>46</v>
      </c>
      <c r="D23" s="8" t="s">
        <v>47</v>
      </c>
      <c r="E23" s="8" t="s">
        <v>48</v>
      </c>
      <c r="F23" s="8" t="s">
        <v>41</v>
      </c>
    </row>
    <row r="24" customFormat="false" ht="27.75" hidden="false" customHeight="true" outlineLevel="0" collapsed="false">
      <c r="B24" s="10" t="s">
        <v>49</v>
      </c>
      <c r="C24" s="11" t="s">
        <v>50</v>
      </c>
      <c r="D24" s="11" t="s">
        <v>51</v>
      </c>
      <c r="E24" s="11" t="s">
        <v>52</v>
      </c>
      <c r="F24" s="11" t="s">
        <v>25</v>
      </c>
    </row>
    <row r="26" customFormat="false" ht="15" hidden="false" customHeight="true" outlineLevel="0" collapsed="false">
      <c r="B26" s="13" t="s">
        <v>53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19.5" hidden="false" customHeight="true" outlineLevel="0" collapsed="false">
      <c r="B27" s="14" t="s">
        <v>54</v>
      </c>
      <c r="C27" s="15" t="s">
        <v>55</v>
      </c>
      <c r="D27" s="16" t="s">
        <v>56</v>
      </c>
      <c r="E27" s="16"/>
      <c r="F27" s="17" t="s">
        <v>57</v>
      </c>
      <c r="G27" s="18" t="s">
        <v>58</v>
      </c>
      <c r="H27" s="8" t="s">
        <v>59</v>
      </c>
      <c r="I27" s="8"/>
      <c r="J27" s="19" t="s">
        <v>60</v>
      </c>
      <c r="K27" s="20" t="s">
        <v>61</v>
      </c>
      <c r="L27" s="21" t="s">
        <v>62</v>
      </c>
      <c r="M27" s="21"/>
    </row>
    <row r="28" customFormat="false" ht="19.5" hidden="false" customHeight="true" outlineLevel="0" collapsed="false">
      <c r="B28" s="14"/>
      <c r="C28" s="14"/>
      <c r="D28" s="16"/>
      <c r="E28" s="16"/>
      <c r="F28" s="17"/>
      <c r="G28" s="17"/>
      <c r="H28" s="8"/>
      <c r="I28" s="8"/>
      <c r="J28" s="19"/>
      <c r="K28" s="19"/>
      <c r="L28" s="21"/>
      <c r="M28" s="21"/>
    </row>
    <row r="29" customFormat="false" ht="19.5" hidden="false" customHeight="true" outlineLevel="0" collapsed="false">
      <c r="B29" s="14"/>
      <c r="C29" s="14"/>
      <c r="D29" s="16"/>
      <c r="E29" s="16"/>
      <c r="F29" s="17"/>
      <c r="G29" s="17"/>
      <c r="H29" s="8"/>
      <c r="I29" s="8"/>
      <c r="J29" s="19"/>
      <c r="K29" s="19"/>
      <c r="L29" s="21"/>
      <c r="M29" s="21"/>
    </row>
    <row r="30" customFormat="false" ht="19.5" hidden="false" customHeight="true" outlineLevel="0" collapsed="false">
      <c r="B30" s="22" t="s">
        <v>63</v>
      </c>
      <c r="C30" s="23" t="s">
        <v>64</v>
      </c>
      <c r="D30" s="16" t="s">
        <v>65</v>
      </c>
      <c r="E30" s="16"/>
      <c r="F30" s="24" t="s">
        <v>66</v>
      </c>
      <c r="G30" s="25" t="s">
        <v>67</v>
      </c>
      <c r="H30" s="26" t="s">
        <v>68</v>
      </c>
      <c r="I30" s="26"/>
      <c r="J30" s="14" t="s">
        <v>69</v>
      </c>
      <c r="K30" s="15" t="s">
        <v>70</v>
      </c>
      <c r="L30" s="27" t="s">
        <v>71</v>
      </c>
      <c r="M30" s="27"/>
    </row>
    <row r="31" customFormat="false" ht="19.5" hidden="false" customHeight="true" outlineLevel="0" collapsed="false">
      <c r="B31" s="22"/>
      <c r="C31" s="22"/>
      <c r="D31" s="16"/>
      <c r="E31" s="16"/>
      <c r="F31" s="24"/>
      <c r="G31" s="24"/>
      <c r="H31" s="26"/>
      <c r="I31" s="26"/>
      <c r="J31" s="14"/>
      <c r="K31" s="14"/>
      <c r="L31" s="27"/>
      <c r="M31" s="27"/>
    </row>
    <row r="32" customFormat="false" ht="19.5" hidden="false" customHeight="true" outlineLevel="0" collapsed="false">
      <c r="B32" s="22"/>
      <c r="C32" s="22"/>
      <c r="D32" s="16"/>
      <c r="E32" s="16"/>
      <c r="F32" s="24"/>
      <c r="G32" s="24"/>
      <c r="H32" s="26"/>
      <c r="I32" s="26"/>
      <c r="J32" s="14"/>
      <c r="K32" s="14"/>
      <c r="L32" s="27"/>
      <c r="M32" s="27"/>
    </row>
  </sheetData>
  <mergeCells count="34">
    <mergeCell ref="B2:M4"/>
    <mergeCell ref="B5:M6"/>
    <mergeCell ref="B7:M7"/>
    <mergeCell ref="B9:M9"/>
    <mergeCell ref="B10:C10"/>
    <mergeCell ref="D10:M10"/>
    <mergeCell ref="B11:C11"/>
    <mergeCell ref="D11:M11"/>
    <mergeCell ref="B12:C12"/>
    <mergeCell ref="D12:M12"/>
    <mergeCell ref="B13:C13"/>
    <mergeCell ref="D13:M13"/>
    <mergeCell ref="B14:C14"/>
    <mergeCell ref="D14:M14"/>
    <mergeCell ref="B16:M16"/>
    <mergeCell ref="B26:M26"/>
    <mergeCell ref="B27:B29"/>
    <mergeCell ref="C27:C29"/>
    <mergeCell ref="D27:E29"/>
    <mergeCell ref="F27:F29"/>
    <mergeCell ref="G27:G29"/>
    <mergeCell ref="H27:I29"/>
    <mergeCell ref="J27:J29"/>
    <mergeCell ref="K27:K29"/>
    <mergeCell ref="L27:M29"/>
    <mergeCell ref="B30:B32"/>
    <mergeCell ref="C30:C32"/>
    <mergeCell ref="D30:E32"/>
    <mergeCell ref="F30:F32"/>
    <mergeCell ref="G30:G32"/>
    <mergeCell ref="H30:I32"/>
    <mergeCell ref="J30:J32"/>
    <mergeCell ref="K30:K32"/>
    <mergeCell ref="L30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26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0"/>
  </cols>
  <sheetData>
    <row r="2" customFormat="false" ht="15" hidden="false" customHeight="true" outlineLevel="0" collapsed="false">
      <c r="B2" s="28" t="s">
        <v>72</v>
      </c>
      <c r="C2" s="28"/>
      <c r="D2" s="28"/>
      <c r="E2" s="28"/>
      <c r="F2" s="28"/>
      <c r="G2" s="28"/>
      <c r="H2" s="28"/>
      <c r="I2" s="28"/>
    </row>
    <row r="3" customFormat="false" ht="15" hidden="false" customHeight="true" outlineLevel="0" collapsed="false">
      <c r="B3" s="28"/>
      <c r="C3" s="28"/>
      <c r="D3" s="28"/>
      <c r="E3" s="28"/>
      <c r="F3" s="28"/>
      <c r="G3" s="28"/>
      <c r="H3" s="28"/>
      <c r="I3" s="28"/>
    </row>
    <row r="4" customFormat="false" ht="15" hidden="false" customHeight="true" outlineLevel="0" collapsed="false">
      <c r="B4" s="4" t="s">
        <v>73</v>
      </c>
      <c r="C4" s="4"/>
      <c r="D4" s="4"/>
      <c r="E4" s="4"/>
      <c r="F4" s="4"/>
      <c r="G4" s="4"/>
      <c r="H4" s="4"/>
      <c r="I4" s="4"/>
    </row>
    <row r="6" customFormat="false" ht="21.75" hidden="false" customHeight="true" outlineLevel="0" collapsed="false">
      <c r="B6" s="29" t="s">
        <v>74</v>
      </c>
      <c r="C6" s="29" t="s">
        <v>75</v>
      </c>
      <c r="D6" s="29" t="s">
        <v>76</v>
      </c>
      <c r="E6" s="29" t="s">
        <v>77</v>
      </c>
      <c r="F6" s="29" t="s">
        <v>78</v>
      </c>
      <c r="G6" s="29" t="s">
        <v>79</v>
      </c>
      <c r="H6" s="29" t="s">
        <v>80</v>
      </c>
      <c r="I6" s="29" t="s">
        <v>81</v>
      </c>
    </row>
    <row r="7" customFormat="false" ht="45" hidden="false" customHeight="true" outlineLevel="0" collapsed="false">
      <c r="B7" s="30" t="s">
        <v>82</v>
      </c>
      <c r="C7" s="31" t="s">
        <v>83</v>
      </c>
      <c r="D7" s="32" t="s">
        <v>84</v>
      </c>
      <c r="E7" s="33" t="s">
        <v>85</v>
      </c>
      <c r="F7" s="34" t="s">
        <v>86</v>
      </c>
      <c r="G7" s="35" t="s">
        <v>87</v>
      </c>
      <c r="H7" s="36" t="s">
        <v>88</v>
      </c>
      <c r="I7" s="37" t="s">
        <v>89</v>
      </c>
    </row>
    <row r="8" customFormat="false" ht="45" hidden="false" customHeight="true" outlineLevel="0" collapsed="false">
      <c r="B8" s="38" t="s">
        <v>90</v>
      </c>
      <c r="C8" s="39" t="s">
        <v>91</v>
      </c>
      <c r="D8" s="32" t="s">
        <v>92</v>
      </c>
      <c r="E8" s="33" t="s">
        <v>93</v>
      </c>
      <c r="F8" s="34" t="s">
        <v>94</v>
      </c>
      <c r="G8" s="40" t="s">
        <v>95</v>
      </c>
      <c r="H8" s="36" t="s">
        <v>96</v>
      </c>
      <c r="I8" s="37" t="s">
        <v>97</v>
      </c>
    </row>
    <row r="9" customFormat="false" ht="45" hidden="false" customHeight="true" outlineLevel="0" collapsed="false">
      <c r="B9" s="38" t="s">
        <v>98</v>
      </c>
      <c r="C9" s="39" t="s">
        <v>99</v>
      </c>
      <c r="D9" s="32" t="s">
        <v>100</v>
      </c>
      <c r="E9" s="33" t="s">
        <v>101</v>
      </c>
      <c r="F9" s="34" t="s">
        <v>102</v>
      </c>
      <c r="G9" s="40" t="s">
        <v>95</v>
      </c>
      <c r="H9" s="36" t="s">
        <v>103</v>
      </c>
      <c r="I9" s="37" t="s">
        <v>104</v>
      </c>
    </row>
    <row r="10" customFormat="false" ht="45" hidden="false" customHeight="true" outlineLevel="0" collapsed="false">
      <c r="B10" s="38" t="s">
        <v>105</v>
      </c>
      <c r="C10" s="39" t="s">
        <v>106</v>
      </c>
      <c r="D10" s="32" t="s">
        <v>107</v>
      </c>
      <c r="E10" s="33" t="s">
        <v>108</v>
      </c>
      <c r="F10" s="34" t="s">
        <v>109</v>
      </c>
      <c r="G10" s="40" t="s">
        <v>110</v>
      </c>
      <c r="H10" s="36" t="s">
        <v>111</v>
      </c>
      <c r="I10" s="37" t="s">
        <v>112</v>
      </c>
    </row>
    <row r="11" customFormat="false" ht="45" hidden="false" customHeight="true" outlineLevel="0" collapsed="false">
      <c r="B11" s="38" t="s">
        <v>113</v>
      </c>
      <c r="C11" s="39" t="s">
        <v>114</v>
      </c>
      <c r="D11" s="32" t="s">
        <v>115</v>
      </c>
      <c r="E11" s="33" t="s">
        <v>116</v>
      </c>
      <c r="F11" s="34" t="s">
        <v>117</v>
      </c>
      <c r="G11" s="40" t="s">
        <v>118</v>
      </c>
      <c r="H11" s="36" t="s">
        <v>119</v>
      </c>
      <c r="I11" s="37" t="s">
        <v>120</v>
      </c>
    </row>
    <row r="12" customFormat="false" ht="45" hidden="false" customHeight="true" outlineLevel="0" collapsed="false">
      <c r="B12" s="38" t="s">
        <v>121</v>
      </c>
      <c r="C12" s="39" t="s">
        <v>122</v>
      </c>
      <c r="D12" s="32" t="s">
        <v>123</v>
      </c>
      <c r="E12" s="33" t="s">
        <v>124</v>
      </c>
      <c r="F12" s="34" t="s">
        <v>125</v>
      </c>
      <c r="G12" s="40" t="s">
        <v>126</v>
      </c>
      <c r="H12" s="41" t="s">
        <v>127</v>
      </c>
      <c r="I12" s="37" t="s">
        <v>128</v>
      </c>
    </row>
    <row r="13" customFormat="false" ht="45" hidden="false" customHeight="true" outlineLevel="0" collapsed="false">
      <c r="B13" s="38" t="s">
        <v>129</v>
      </c>
      <c r="C13" s="39" t="s">
        <v>130</v>
      </c>
      <c r="D13" s="32" t="s">
        <v>131</v>
      </c>
      <c r="E13" s="33" t="s">
        <v>132</v>
      </c>
      <c r="F13" s="34" t="s">
        <v>133</v>
      </c>
      <c r="G13" s="40" t="s">
        <v>118</v>
      </c>
      <c r="H13" s="36" t="s">
        <v>134</v>
      </c>
      <c r="I13" s="37" t="s">
        <v>135</v>
      </c>
    </row>
    <row r="14" customFormat="false" ht="45" hidden="false" customHeight="true" outlineLevel="0" collapsed="false">
      <c r="B14" s="38" t="s">
        <v>136</v>
      </c>
      <c r="C14" s="39" t="s">
        <v>137</v>
      </c>
      <c r="D14" s="32" t="s">
        <v>138</v>
      </c>
      <c r="E14" s="33" t="s">
        <v>139</v>
      </c>
      <c r="F14" s="34" t="s">
        <v>140</v>
      </c>
      <c r="G14" s="40" t="s">
        <v>118</v>
      </c>
      <c r="H14" s="36" t="s">
        <v>141</v>
      </c>
      <c r="I14" s="37" t="s">
        <v>142</v>
      </c>
    </row>
    <row r="15" customFormat="false" ht="45" hidden="false" customHeight="true" outlineLevel="0" collapsed="false">
      <c r="B15" s="38" t="s">
        <v>143</v>
      </c>
      <c r="C15" s="42" t="s">
        <v>144</v>
      </c>
      <c r="D15" s="32" t="s">
        <v>145</v>
      </c>
      <c r="E15" s="33" t="s">
        <v>146</v>
      </c>
      <c r="F15" s="34" t="s">
        <v>147</v>
      </c>
      <c r="G15" s="43" t="s">
        <v>148</v>
      </c>
      <c r="H15" s="36" t="s">
        <v>149</v>
      </c>
      <c r="I15" s="37" t="s">
        <v>150</v>
      </c>
    </row>
    <row r="16" customFormat="false" ht="45" hidden="false" customHeight="true" outlineLevel="0" collapsed="false">
      <c r="B16" s="30" t="s">
        <v>151</v>
      </c>
      <c r="C16" s="31" t="s">
        <v>152</v>
      </c>
      <c r="D16" s="32" t="s">
        <v>153</v>
      </c>
      <c r="E16" s="33" t="s">
        <v>154</v>
      </c>
      <c r="F16" s="34" t="s">
        <v>155</v>
      </c>
      <c r="G16" s="35" t="s">
        <v>156</v>
      </c>
      <c r="H16" s="36" t="s">
        <v>157</v>
      </c>
      <c r="I16" s="37" t="s">
        <v>158</v>
      </c>
    </row>
    <row r="17" customFormat="false" ht="45" hidden="false" customHeight="true" outlineLevel="0" collapsed="false">
      <c r="B17" s="38" t="s">
        <v>159</v>
      </c>
      <c r="C17" s="39" t="s">
        <v>160</v>
      </c>
      <c r="D17" s="32" t="s">
        <v>161</v>
      </c>
      <c r="E17" s="33" t="s">
        <v>162</v>
      </c>
      <c r="F17" s="34" t="s">
        <v>163</v>
      </c>
      <c r="G17" s="40" t="s">
        <v>164</v>
      </c>
      <c r="H17" s="36" t="s">
        <v>165</v>
      </c>
      <c r="I17" s="37" t="s">
        <v>166</v>
      </c>
    </row>
    <row r="18" customFormat="false" ht="45" hidden="false" customHeight="true" outlineLevel="0" collapsed="false">
      <c r="B18" s="38" t="s">
        <v>167</v>
      </c>
      <c r="C18" s="39" t="s">
        <v>168</v>
      </c>
      <c r="D18" s="32" t="s">
        <v>169</v>
      </c>
      <c r="E18" s="33" t="s">
        <v>170</v>
      </c>
      <c r="F18" s="34" t="s">
        <v>171</v>
      </c>
      <c r="G18" s="40" t="s">
        <v>118</v>
      </c>
      <c r="H18" s="36" t="s">
        <v>172</v>
      </c>
      <c r="I18" s="37" t="s">
        <v>173</v>
      </c>
    </row>
    <row r="19" customFormat="false" ht="45" hidden="false" customHeight="true" outlineLevel="0" collapsed="false">
      <c r="B19" s="38" t="s">
        <v>174</v>
      </c>
      <c r="C19" s="44" t="s">
        <v>175</v>
      </c>
      <c r="D19" s="32" t="s">
        <v>176</v>
      </c>
      <c r="E19" s="33" t="s">
        <v>177</v>
      </c>
      <c r="F19" s="34" t="s">
        <v>178</v>
      </c>
      <c r="G19" s="45" t="s">
        <v>179</v>
      </c>
      <c r="H19" s="36" t="s">
        <v>180</v>
      </c>
      <c r="I19" s="37" t="s">
        <v>181</v>
      </c>
    </row>
    <row r="20" customFormat="false" ht="45" hidden="false" customHeight="true" outlineLevel="0" collapsed="false">
      <c r="B20" s="46" t="s">
        <v>182</v>
      </c>
      <c r="C20" s="47" t="s">
        <v>183</v>
      </c>
      <c r="D20" s="32" t="s">
        <v>184</v>
      </c>
      <c r="E20" s="33" t="s">
        <v>185</v>
      </c>
      <c r="F20" s="34" t="s">
        <v>186</v>
      </c>
      <c r="G20" s="48" t="s">
        <v>187</v>
      </c>
      <c r="H20" s="41" t="s">
        <v>188</v>
      </c>
      <c r="I20" s="37" t="s">
        <v>189</v>
      </c>
    </row>
    <row r="21" customFormat="false" ht="45" hidden="false" customHeight="true" outlineLevel="0" collapsed="false">
      <c r="B21" s="38" t="s">
        <v>190</v>
      </c>
      <c r="C21" s="39" t="s">
        <v>191</v>
      </c>
      <c r="D21" s="32" t="s">
        <v>192</v>
      </c>
      <c r="E21" s="33" t="s">
        <v>193</v>
      </c>
      <c r="F21" s="34" t="s">
        <v>194</v>
      </c>
      <c r="G21" s="40" t="s">
        <v>164</v>
      </c>
      <c r="H21" s="36" t="s">
        <v>195</v>
      </c>
      <c r="I21" s="37" t="s">
        <v>196</v>
      </c>
    </row>
    <row r="23" customFormat="false" ht="15" hidden="false" customHeight="true" outlineLevel="0" collapsed="false">
      <c r="B23" s="49" t="s">
        <v>197</v>
      </c>
      <c r="C23" s="49"/>
      <c r="D23" s="49"/>
      <c r="E23" s="49"/>
      <c r="F23" s="49"/>
      <c r="G23" s="49"/>
      <c r="H23" s="49"/>
      <c r="I23" s="49"/>
    </row>
    <row r="24" customFormat="false" ht="24.75" hidden="false" customHeight="true" outlineLevel="0" collapsed="false">
      <c r="B24" s="50" t="s">
        <v>198</v>
      </c>
      <c r="C24" s="35" t="s">
        <v>199</v>
      </c>
      <c r="D24" s="40" t="s">
        <v>200</v>
      </c>
      <c r="E24" s="45" t="s">
        <v>201</v>
      </c>
      <c r="F24" s="48" t="s">
        <v>202</v>
      </c>
      <c r="G24" s="51" t="s">
        <v>203</v>
      </c>
      <c r="H24" s="43" t="s">
        <v>204</v>
      </c>
    </row>
    <row r="25" customFormat="false" ht="24.75" hidden="false" customHeight="true" outlineLevel="0" collapsed="false">
      <c r="B25" s="50"/>
      <c r="C25" s="35"/>
      <c r="D25" s="35"/>
      <c r="E25" s="35"/>
      <c r="F25" s="35"/>
      <c r="G25" s="35"/>
      <c r="H25" s="35"/>
    </row>
    <row r="26" customFormat="false" ht="21.75" hidden="false" customHeight="true" outlineLevel="0" collapsed="false">
      <c r="B26" s="39" t="s">
        <v>205</v>
      </c>
      <c r="C26" s="36" t="s">
        <v>206</v>
      </c>
      <c r="D26" s="52" t="s">
        <v>207</v>
      </c>
      <c r="E26" s="41" t="s">
        <v>208</v>
      </c>
      <c r="F26" s="36" t="s">
        <v>206</v>
      </c>
      <c r="G26" s="36" t="s">
        <v>206</v>
      </c>
      <c r="H26" s="41" t="s">
        <v>209</v>
      </c>
    </row>
    <row r="27" customFormat="false" ht="21.75" hidden="false" customHeight="true" outlineLevel="0" collapsed="false">
      <c r="B27" s="39" t="s">
        <v>210</v>
      </c>
      <c r="C27" s="52" t="s">
        <v>207</v>
      </c>
      <c r="D27" s="36" t="s">
        <v>206</v>
      </c>
      <c r="E27" s="36" t="s">
        <v>206</v>
      </c>
      <c r="F27" s="41" t="s">
        <v>211</v>
      </c>
      <c r="G27" s="36" t="s">
        <v>206</v>
      </c>
      <c r="H27" s="41" t="s">
        <v>212</v>
      </c>
    </row>
    <row r="28" customFormat="false" ht="21.75" hidden="false" customHeight="true" outlineLevel="0" collapsed="false">
      <c r="B28" s="39" t="s">
        <v>213</v>
      </c>
      <c r="C28" s="36" t="s">
        <v>206</v>
      </c>
      <c r="D28" s="52" t="s">
        <v>207</v>
      </c>
      <c r="E28" s="41" t="s">
        <v>214</v>
      </c>
      <c r="F28" s="36" t="s">
        <v>206</v>
      </c>
      <c r="G28" s="36" t="s">
        <v>206</v>
      </c>
      <c r="H28" s="36" t="s">
        <v>206</v>
      </c>
    </row>
    <row r="29" customFormat="false" ht="21.75" hidden="false" customHeight="true" outlineLevel="0" collapsed="false">
      <c r="B29" s="39" t="s">
        <v>215</v>
      </c>
      <c r="C29" s="36" t="s">
        <v>206</v>
      </c>
      <c r="D29" s="36" t="s">
        <v>206</v>
      </c>
      <c r="E29" s="36" t="s">
        <v>206</v>
      </c>
      <c r="F29" s="36" t="s">
        <v>206</v>
      </c>
      <c r="G29" s="36" t="s">
        <v>206</v>
      </c>
      <c r="H29" s="52" t="s">
        <v>207</v>
      </c>
    </row>
    <row r="30" customFormat="false" ht="21.75" hidden="false" customHeight="true" outlineLevel="0" collapsed="false">
      <c r="B30" s="39" t="s">
        <v>216</v>
      </c>
      <c r="C30" s="36" t="s">
        <v>206</v>
      </c>
      <c r="D30" s="52" t="s">
        <v>207</v>
      </c>
      <c r="E30" s="41" t="s">
        <v>217</v>
      </c>
      <c r="F30" s="36" t="s">
        <v>206</v>
      </c>
      <c r="G30" s="41" t="s">
        <v>218</v>
      </c>
      <c r="H30" s="36" t="s">
        <v>206</v>
      </c>
    </row>
    <row r="31" customFormat="false" ht="21.75" hidden="false" customHeight="true" outlineLevel="0" collapsed="false">
      <c r="B31" s="39" t="s">
        <v>219</v>
      </c>
      <c r="C31" s="52" t="s">
        <v>207</v>
      </c>
      <c r="D31" s="36" t="s">
        <v>206</v>
      </c>
      <c r="E31" s="36" t="s">
        <v>206</v>
      </c>
      <c r="F31" s="41" t="s">
        <v>220</v>
      </c>
      <c r="G31" s="41" t="s">
        <v>221</v>
      </c>
      <c r="H31" s="36" t="s">
        <v>206</v>
      </c>
    </row>
    <row r="32" customFormat="false" ht="21.75" hidden="false" customHeight="true" outlineLevel="0" collapsed="false">
      <c r="B32" s="39" t="s">
        <v>222</v>
      </c>
      <c r="C32" s="36" t="s">
        <v>206</v>
      </c>
      <c r="D32" s="52" t="s">
        <v>207</v>
      </c>
      <c r="E32" s="36" t="s">
        <v>206</v>
      </c>
      <c r="F32" s="36" t="s">
        <v>206</v>
      </c>
      <c r="G32" s="36" t="s">
        <v>206</v>
      </c>
      <c r="H32" s="36" t="s">
        <v>206</v>
      </c>
    </row>
    <row r="33" customFormat="false" ht="21.75" hidden="false" customHeight="true" outlineLevel="0" collapsed="false">
      <c r="B33" s="39" t="s">
        <v>223</v>
      </c>
      <c r="C33" s="36" t="s">
        <v>206</v>
      </c>
      <c r="D33" s="36" t="s">
        <v>206</v>
      </c>
      <c r="E33" s="41" t="s">
        <v>224</v>
      </c>
      <c r="F33" s="52" t="s">
        <v>207</v>
      </c>
      <c r="G33" s="41" t="s">
        <v>225</v>
      </c>
      <c r="H33" s="36" t="s">
        <v>206</v>
      </c>
    </row>
  </sheetData>
  <mergeCells count="10">
    <mergeCell ref="B2:I3"/>
    <mergeCell ref="B4:I4"/>
    <mergeCell ref="B23:I23"/>
    <mergeCell ref="B24:B25"/>
    <mergeCell ref="C24:C25"/>
    <mergeCell ref="D24:D25"/>
    <mergeCell ref="E24:E25"/>
    <mergeCell ref="F24:F25"/>
    <mergeCell ref="G24:G25"/>
    <mergeCell ref="H24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1" min="10" style="1" width="16"/>
  </cols>
  <sheetData>
    <row r="2" customFormat="false" ht="15" hidden="false" customHeight="true" outlineLevel="0" collapsed="false">
      <c r="B2" s="28" t="s">
        <v>226</v>
      </c>
      <c r="C2" s="28"/>
      <c r="D2" s="28"/>
      <c r="E2" s="28"/>
      <c r="F2" s="28"/>
      <c r="G2" s="28"/>
      <c r="H2" s="28"/>
      <c r="I2" s="28"/>
      <c r="J2" s="28"/>
      <c r="K2" s="28"/>
    </row>
    <row r="3" customFormat="false" ht="15" hidden="false" customHeight="true" outlineLevel="0" collapsed="false">
      <c r="B3" s="28"/>
      <c r="C3" s="28"/>
      <c r="D3" s="28"/>
      <c r="E3" s="28"/>
      <c r="F3" s="28"/>
      <c r="G3" s="28"/>
      <c r="H3" s="28"/>
      <c r="I3" s="28"/>
      <c r="J3" s="28"/>
      <c r="K3" s="28"/>
    </row>
    <row r="4" customFormat="false" ht="15" hidden="false" customHeight="true" outlineLevel="0" collapsed="false">
      <c r="B4" s="53" t="s">
        <v>227</v>
      </c>
      <c r="C4" s="53"/>
      <c r="D4" s="53"/>
      <c r="E4" s="53"/>
      <c r="F4" s="53"/>
      <c r="G4" s="53"/>
      <c r="H4" s="53"/>
      <c r="I4" s="53"/>
      <c r="J4" s="53"/>
      <c r="K4" s="53"/>
    </row>
    <row r="5" customFormat="false" ht="15" hidden="false" customHeight="true" outlineLevel="0" collapsed="false">
      <c r="B5" s="54" t="s">
        <v>228</v>
      </c>
      <c r="C5" s="54"/>
      <c r="D5" s="54"/>
      <c r="E5" s="54"/>
      <c r="F5" s="54"/>
      <c r="G5" s="54"/>
      <c r="H5" s="54"/>
      <c r="I5" s="54"/>
      <c r="J5" s="54"/>
      <c r="K5" s="54"/>
    </row>
    <row r="6" customFormat="false" ht="21.75" hidden="false" customHeight="true" outlineLevel="0" collapsed="false">
      <c r="B6" s="55" t="s">
        <v>229</v>
      </c>
      <c r="C6" s="56" t="s">
        <v>230</v>
      </c>
      <c r="D6" s="57" t="s">
        <v>231</v>
      </c>
      <c r="E6" s="58" t="s">
        <v>232</v>
      </c>
      <c r="F6" s="59" t="s">
        <v>233</v>
      </c>
      <c r="G6" s="60" t="s">
        <v>234</v>
      </c>
      <c r="H6" s="61" t="s">
        <v>235</v>
      </c>
      <c r="I6" s="62" t="s">
        <v>236</v>
      </c>
    </row>
    <row r="7" customFormat="false" ht="21.75" hidden="false" customHeight="true" outlineLevel="0" collapsed="false">
      <c r="B7" s="29" t="s">
        <v>237</v>
      </c>
      <c r="C7" s="29" t="s">
        <v>238</v>
      </c>
      <c r="D7" s="29" t="s">
        <v>239</v>
      </c>
      <c r="E7" s="29" t="s">
        <v>240</v>
      </c>
      <c r="F7" s="29" t="s">
        <v>241</v>
      </c>
      <c r="G7" s="29" t="s">
        <v>242</v>
      </c>
      <c r="H7" s="29" t="s">
        <v>243</v>
      </c>
      <c r="I7" s="29" t="s">
        <v>244</v>
      </c>
      <c r="J7" s="29" t="s">
        <v>245</v>
      </c>
      <c r="K7" s="29" t="s">
        <v>246</v>
      </c>
    </row>
    <row r="8" customFormat="false" ht="31.5" hidden="false" customHeight="true" outlineLevel="0" collapsed="false">
      <c r="B8" s="63" t="s">
        <v>247</v>
      </c>
      <c r="C8" s="64" t="n">
        <v>420</v>
      </c>
      <c r="D8" s="65" t="s">
        <v>105</v>
      </c>
      <c r="E8" s="40" t="s">
        <v>57</v>
      </c>
      <c r="F8" s="55" t="s">
        <v>229</v>
      </c>
      <c r="G8" s="66" t="n">
        <v>420</v>
      </c>
      <c r="H8" s="67" t="n">
        <v>1</v>
      </c>
      <c r="I8" s="36" t="s">
        <v>248</v>
      </c>
      <c r="J8" s="36" t="s">
        <v>249</v>
      </c>
      <c r="K8" s="68" t="s">
        <v>250</v>
      </c>
    </row>
    <row r="9" customFormat="false" ht="31.5" hidden="false" customHeight="true" outlineLevel="0" collapsed="false">
      <c r="B9" s="63" t="s">
        <v>251</v>
      </c>
      <c r="C9" s="64" t="n">
        <v>380</v>
      </c>
      <c r="D9" s="65" t="s">
        <v>90</v>
      </c>
      <c r="E9" s="40" t="s">
        <v>57</v>
      </c>
      <c r="F9" s="55" t="s">
        <v>229</v>
      </c>
      <c r="G9" s="66" t="n">
        <v>380</v>
      </c>
      <c r="H9" s="67" t="n">
        <v>1</v>
      </c>
      <c r="I9" s="36" t="s">
        <v>248</v>
      </c>
      <c r="J9" s="36" t="s">
        <v>249</v>
      </c>
      <c r="K9" s="68" t="s">
        <v>252</v>
      </c>
    </row>
    <row r="10" customFormat="false" ht="31.5" hidden="false" customHeight="true" outlineLevel="0" collapsed="false">
      <c r="B10" s="63" t="s">
        <v>253</v>
      </c>
      <c r="C10" s="64" t="n">
        <v>180</v>
      </c>
      <c r="D10" s="65" t="s">
        <v>174</v>
      </c>
      <c r="E10" s="45" t="s">
        <v>60</v>
      </c>
      <c r="F10" s="57" t="s">
        <v>231</v>
      </c>
      <c r="G10" s="69" t="n">
        <v>144</v>
      </c>
      <c r="H10" s="67" t="n">
        <v>0.8</v>
      </c>
      <c r="I10" s="41" t="s">
        <v>254</v>
      </c>
      <c r="J10" s="41" t="s">
        <v>255</v>
      </c>
      <c r="K10" s="68" t="s">
        <v>256</v>
      </c>
    </row>
    <row r="11" customFormat="false" ht="31.5" hidden="false" customHeight="true" outlineLevel="0" collapsed="false">
      <c r="B11" s="63" t="s">
        <v>257</v>
      </c>
      <c r="C11" s="64" t="n">
        <v>285</v>
      </c>
      <c r="D11" s="65" t="s">
        <v>105</v>
      </c>
      <c r="E11" s="40" t="s">
        <v>57</v>
      </c>
      <c r="F11" s="55" t="s">
        <v>229</v>
      </c>
      <c r="G11" s="66" t="n">
        <v>285</v>
      </c>
      <c r="H11" s="67" t="n">
        <v>1</v>
      </c>
      <c r="I11" s="36" t="s">
        <v>248</v>
      </c>
      <c r="J11" s="41" t="s">
        <v>258</v>
      </c>
      <c r="K11" s="68" t="s">
        <v>250</v>
      </c>
    </row>
    <row r="12" customFormat="false" ht="31.5" hidden="false" customHeight="true" outlineLevel="0" collapsed="false">
      <c r="B12" s="63" t="s">
        <v>259</v>
      </c>
      <c r="C12" s="64" t="n">
        <v>95</v>
      </c>
      <c r="D12" s="65" t="s">
        <v>260</v>
      </c>
      <c r="E12" s="40" t="s">
        <v>261</v>
      </c>
      <c r="F12" s="55" t="s">
        <v>229</v>
      </c>
      <c r="G12" s="66" t="n">
        <v>95</v>
      </c>
      <c r="H12" s="67" t="n">
        <v>1</v>
      </c>
      <c r="I12" s="36" t="s">
        <v>248</v>
      </c>
      <c r="J12" s="36" t="s">
        <v>249</v>
      </c>
      <c r="K12" s="68" t="s">
        <v>262</v>
      </c>
    </row>
    <row r="13" customFormat="false" ht="31.5" hidden="false" customHeight="true" outlineLevel="0" collapsed="false">
      <c r="B13" s="63" t="s">
        <v>263</v>
      </c>
      <c r="C13" s="64" t="n">
        <v>210</v>
      </c>
      <c r="D13" s="65" t="s">
        <v>98</v>
      </c>
      <c r="E13" s="40" t="s">
        <v>57</v>
      </c>
      <c r="F13" s="57" t="s">
        <v>231</v>
      </c>
      <c r="G13" s="69" t="n">
        <v>105</v>
      </c>
      <c r="H13" s="70" t="n">
        <v>0.5</v>
      </c>
      <c r="I13" s="41" t="s">
        <v>254</v>
      </c>
      <c r="J13" s="36" t="s">
        <v>249</v>
      </c>
      <c r="K13" s="68" t="s">
        <v>264</v>
      </c>
    </row>
    <row r="14" customFormat="false" ht="31.5" hidden="false" customHeight="true" outlineLevel="0" collapsed="false">
      <c r="B14" s="63" t="s">
        <v>265</v>
      </c>
      <c r="C14" s="64" t="n">
        <v>650</v>
      </c>
      <c r="D14" s="65" t="s">
        <v>121</v>
      </c>
      <c r="E14" s="40" t="s">
        <v>57</v>
      </c>
      <c r="F14" s="57" t="s">
        <v>231</v>
      </c>
      <c r="G14" s="69" t="n">
        <v>195</v>
      </c>
      <c r="H14" s="70" t="n">
        <v>0.3</v>
      </c>
      <c r="I14" s="41" t="s">
        <v>254</v>
      </c>
      <c r="J14" s="41" t="s">
        <v>266</v>
      </c>
      <c r="K14" s="68" t="s">
        <v>267</v>
      </c>
    </row>
    <row r="15" customFormat="false" ht="31.5" hidden="false" customHeight="true" outlineLevel="0" collapsed="false">
      <c r="B15" s="63" t="s">
        <v>268</v>
      </c>
      <c r="C15" s="64" t="n">
        <v>320</v>
      </c>
      <c r="D15" s="65" t="s">
        <v>105</v>
      </c>
      <c r="E15" s="40" t="s">
        <v>57</v>
      </c>
      <c r="F15" s="57" t="s">
        <v>231</v>
      </c>
      <c r="G15" s="69" t="n">
        <v>192</v>
      </c>
      <c r="H15" s="70" t="n">
        <v>0.6</v>
      </c>
      <c r="I15" s="41" t="s">
        <v>254</v>
      </c>
      <c r="J15" s="41" t="s">
        <v>258</v>
      </c>
      <c r="K15" s="68" t="s">
        <v>267</v>
      </c>
    </row>
    <row r="16" customFormat="false" ht="31.5" hidden="false" customHeight="true" outlineLevel="0" collapsed="false">
      <c r="B16" s="63" t="s">
        <v>269</v>
      </c>
      <c r="C16" s="64" t="n">
        <v>85</v>
      </c>
      <c r="D16" s="65" t="s">
        <v>136</v>
      </c>
      <c r="E16" s="40" t="s">
        <v>57</v>
      </c>
      <c r="F16" s="55" t="s">
        <v>229</v>
      </c>
      <c r="G16" s="66" t="n">
        <v>85</v>
      </c>
      <c r="H16" s="67" t="n">
        <v>1</v>
      </c>
      <c r="I16" s="36" t="s">
        <v>248</v>
      </c>
      <c r="J16" s="36" t="s">
        <v>249</v>
      </c>
      <c r="K16" s="68" t="s">
        <v>270</v>
      </c>
    </row>
    <row r="17" customFormat="false" ht="31.5" hidden="false" customHeight="true" outlineLevel="0" collapsed="false">
      <c r="B17" s="63" t="s">
        <v>271</v>
      </c>
      <c r="C17" s="64" t="n">
        <v>155</v>
      </c>
      <c r="D17" s="71" t="s">
        <v>207</v>
      </c>
      <c r="E17" s="72" t="s">
        <v>207</v>
      </c>
      <c r="F17" s="59" t="s">
        <v>233</v>
      </c>
      <c r="G17" s="73" t="n">
        <v>0</v>
      </c>
      <c r="H17" s="74" t="n">
        <v>0</v>
      </c>
      <c r="I17" s="75" t="s">
        <v>272</v>
      </c>
      <c r="J17" s="52" t="s">
        <v>273</v>
      </c>
      <c r="K17" s="68" t="s">
        <v>274</v>
      </c>
    </row>
    <row r="18" customFormat="false" ht="31.5" hidden="false" customHeight="true" outlineLevel="0" collapsed="false">
      <c r="B18" s="63" t="s">
        <v>275</v>
      </c>
      <c r="C18" s="64" t="n">
        <v>220</v>
      </c>
      <c r="D18" s="71" t="s">
        <v>182</v>
      </c>
      <c r="E18" s="48" t="s">
        <v>63</v>
      </c>
      <c r="F18" s="57" t="s">
        <v>231</v>
      </c>
      <c r="G18" s="69" t="n">
        <v>66</v>
      </c>
      <c r="H18" s="70" t="n">
        <v>0.3</v>
      </c>
      <c r="I18" s="41" t="s">
        <v>254</v>
      </c>
      <c r="J18" s="41" t="s">
        <v>276</v>
      </c>
      <c r="K18" s="68" t="s">
        <v>277</v>
      </c>
    </row>
    <row r="19" customFormat="false" ht="31.5" hidden="false" customHeight="true" outlineLevel="0" collapsed="false">
      <c r="B19" s="63" t="s">
        <v>278</v>
      </c>
      <c r="C19" s="64" t="n">
        <v>110</v>
      </c>
      <c r="D19" s="65" t="s">
        <v>279</v>
      </c>
      <c r="E19" s="43" t="s">
        <v>69</v>
      </c>
      <c r="F19" s="55" t="s">
        <v>229</v>
      </c>
      <c r="G19" s="66" t="n">
        <v>110</v>
      </c>
      <c r="H19" s="67" t="n">
        <v>1</v>
      </c>
      <c r="I19" s="36" t="s">
        <v>248</v>
      </c>
      <c r="J19" s="36" t="s">
        <v>249</v>
      </c>
      <c r="K19" s="68" t="s">
        <v>280</v>
      </c>
    </row>
    <row r="20" customFormat="false" ht="31.5" hidden="false" customHeight="true" outlineLevel="0" collapsed="false">
      <c r="B20" s="63" t="s">
        <v>281</v>
      </c>
      <c r="C20" s="64" t="n">
        <v>75</v>
      </c>
      <c r="D20" s="65" t="s">
        <v>143</v>
      </c>
      <c r="E20" s="43" t="s">
        <v>69</v>
      </c>
      <c r="F20" s="55" t="s">
        <v>229</v>
      </c>
      <c r="G20" s="66" t="n">
        <v>75</v>
      </c>
      <c r="H20" s="67" t="n">
        <v>1</v>
      </c>
      <c r="I20" s="36" t="s">
        <v>248</v>
      </c>
      <c r="J20" s="36" t="s">
        <v>249</v>
      </c>
      <c r="K20" s="68" t="s">
        <v>280</v>
      </c>
    </row>
    <row r="21" customFormat="false" ht="31.5" hidden="false" customHeight="true" outlineLevel="0" collapsed="false">
      <c r="B21" s="63" t="s">
        <v>282</v>
      </c>
      <c r="C21" s="64" t="n">
        <v>18</v>
      </c>
      <c r="D21" s="65" t="s">
        <v>190</v>
      </c>
      <c r="E21" s="40" t="s">
        <v>57</v>
      </c>
      <c r="F21" s="61" t="s">
        <v>235</v>
      </c>
      <c r="G21" s="76" t="n">
        <v>18</v>
      </c>
      <c r="H21" s="67" t="n">
        <v>1</v>
      </c>
      <c r="I21" s="36" t="s">
        <v>248</v>
      </c>
      <c r="J21" s="36" t="s">
        <v>249</v>
      </c>
      <c r="K21" s="68" t="s">
        <v>283</v>
      </c>
    </row>
    <row r="22" customFormat="false" ht="31.5" hidden="false" customHeight="true" outlineLevel="0" collapsed="false">
      <c r="B22" s="63" t="s">
        <v>284</v>
      </c>
      <c r="C22" s="64" t="n">
        <v>145</v>
      </c>
      <c r="D22" s="65" t="s">
        <v>159</v>
      </c>
      <c r="E22" s="40" t="s">
        <v>57</v>
      </c>
      <c r="F22" s="55" t="s">
        <v>229</v>
      </c>
      <c r="G22" s="66" t="n">
        <v>145</v>
      </c>
      <c r="H22" s="67" t="n">
        <v>1</v>
      </c>
      <c r="I22" s="36" t="s">
        <v>248</v>
      </c>
      <c r="J22" s="41" t="s">
        <v>285</v>
      </c>
      <c r="K22" s="68" t="s">
        <v>286</v>
      </c>
    </row>
    <row r="23" customFormat="false" ht="31.5" hidden="false" customHeight="true" outlineLevel="0" collapsed="false">
      <c r="B23" s="63" t="s">
        <v>287</v>
      </c>
      <c r="C23" s="64" t="n">
        <v>200</v>
      </c>
      <c r="D23" s="65" t="s">
        <v>159</v>
      </c>
      <c r="E23" s="40" t="s">
        <v>57</v>
      </c>
      <c r="F23" s="57" t="s">
        <v>231</v>
      </c>
      <c r="G23" s="69" t="n">
        <v>120</v>
      </c>
      <c r="H23" s="70" t="n">
        <v>0.6</v>
      </c>
      <c r="I23" s="41" t="s">
        <v>254</v>
      </c>
      <c r="J23" s="41" t="s">
        <v>285</v>
      </c>
      <c r="K23" s="68" t="s">
        <v>286</v>
      </c>
    </row>
    <row r="24" customFormat="false" ht="31.5" hidden="false" customHeight="true" outlineLevel="0" collapsed="false">
      <c r="B24" s="63" t="s">
        <v>288</v>
      </c>
      <c r="C24" s="64" t="n">
        <v>42</v>
      </c>
      <c r="D24" s="65" t="s">
        <v>159</v>
      </c>
      <c r="E24" s="40" t="s">
        <v>57</v>
      </c>
      <c r="F24" s="55" t="s">
        <v>229</v>
      </c>
      <c r="G24" s="66" t="n">
        <v>42</v>
      </c>
      <c r="H24" s="67" t="n">
        <v>1</v>
      </c>
      <c r="I24" s="36" t="s">
        <v>248</v>
      </c>
      <c r="J24" s="36" t="s">
        <v>249</v>
      </c>
      <c r="K24" s="68" t="s">
        <v>286</v>
      </c>
    </row>
    <row r="25" customFormat="false" ht="31.5" hidden="false" customHeight="true" outlineLevel="0" collapsed="false">
      <c r="B25" s="63" t="s">
        <v>289</v>
      </c>
      <c r="C25" s="64" t="n">
        <v>120</v>
      </c>
      <c r="D25" s="71" t="s">
        <v>207</v>
      </c>
      <c r="E25" s="72" t="s">
        <v>207</v>
      </c>
      <c r="F25" s="59" t="s">
        <v>233</v>
      </c>
      <c r="G25" s="73" t="n">
        <v>0</v>
      </c>
      <c r="H25" s="74" t="n">
        <v>0</v>
      </c>
      <c r="I25" s="75" t="s">
        <v>272</v>
      </c>
      <c r="J25" s="52" t="s">
        <v>273</v>
      </c>
      <c r="K25" s="68" t="s">
        <v>274</v>
      </c>
    </row>
    <row r="26" customFormat="false" ht="31.5" hidden="false" customHeight="true" outlineLevel="0" collapsed="false">
      <c r="B26" s="63" t="s">
        <v>290</v>
      </c>
      <c r="C26" s="64" t="n">
        <v>350</v>
      </c>
      <c r="D26" s="71" t="s">
        <v>207</v>
      </c>
      <c r="E26" s="72" t="s">
        <v>207</v>
      </c>
      <c r="F26" s="59" t="s">
        <v>233</v>
      </c>
      <c r="G26" s="73" t="n">
        <v>0</v>
      </c>
      <c r="H26" s="74" t="n">
        <v>0</v>
      </c>
      <c r="I26" s="75" t="s">
        <v>272</v>
      </c>
      <c r="J26" s="52" t="s">
        <v>273</v>
      </c>
      <c r="K26" s="68" t="s">
        <v>274</v>
      </c>
    </row>
    <row r="27" customFormat="false" ht="31.5" hidden="false" customHeight="true" outlineLevel="0" collapsed="false">
      <c r="B27" s="63" t="s">
        <v>291</v>
      </c>
      <c r="C27" s="64" t="n">
        <v>95</v>
      </c>
      <c r="D27" s="65" t="s">
        <v>190</v>
      </c>
      <c r="E27" s="40" t="s">
        <v>57</v>
      </c>
      <c r="F27" s="57" t="s">
        <v>231</v>
      </c>
      <c r="G27" s="69" t="n">
        <v>28</v>
      </c>
      <c r="H27" s="70" t="n">
        <v>0.3</v>
      </c>
      <c r="I27" s="41" t="s">
        <v>254</v>
      </c>
      <c r="J27" s="36" t="s">
        <v>249</v>
      </c>
      <c r="K27" s="68" t="s">
        <v>292</v>
      </c>
    </row>
    <row r="28" customFormat="false" ht="31.5" hidden="false" customHeight="true" outlineLevel="0" collapsed="false">
      <c r="B28" s="63" t="s">
        <v>293</v>
      </c>
      <c r="C28" s="64" t="n">
        <v>32</v>
      </c>
      <c r="D28" s="65" t="s">
        <v>90</v>
      </c>
      <c r="E28" s="40" t="s">
        <v>57</v>
      </c>
      <c r="F28" s="55" t="s">
        <v>229</v>
      </c>
      <c r="G28" s="66" t="n">
        <v>32</v>
      </c>
      <c r="H28" s="67" t="n">
        <v>1</v>
      </c>
      <c r="I28" s="36" t="s">
        <v>248</v>
      </c>
      <c r="J28" s="36" t="s">
        <v>249</v>
      </c>
      <c r="K28" s="68" t="s">
        <v>294</v>
      </c>
    </row>
    <row r="29" customFormat="false" ht="31.5" hidden="false" customHeight="true" outlineLevel="0" collapsed="false">
      <c r="B29" s="63" t="s">
        <v>295</v>
      </c>
      <c r="C29" s="64" t="n">
        <v>185</v>
      </c>
      <c r="D29" s="77" t="s">
        <v>82</v>
      </c>
      <c r="E29" s="35" t="s">
        <v>54</v>
      </c>
      <c r="F29" s="55" t="s">
        <v>229</v>
      </c>
      <c r="G29" s="66" t="n">
        <v>185</v>
      </c>
      <c r="H29" s="67" t="n">
        <v>1</v>
      </c>
      <c r="I29" s="36" t="s">
        <v>248</v>
      </c>
      <c r="J29" s="41" t="s">
        <v>296</v>
      </c>
      <c r="K29" s="68" t="s">
        <v>297</v>
      </c>
    </row>
    <row r="30" customFormat="false" ht="31.5" hidden="false" customHeight="true" outlineLevel="0" collapsed="false">
      <c r="B30" s="63" t="s">
        <v>298</v>
      </c>
      <c r="C30" s="64" t="n">
        <v>68</v>
      </c>
      <c r="D30" s="65" t="s">
        <v>129</v>
      </c>
      <c r="E30" s="40" t="s">
        <v>57</v>
      </c>
      <c r="F30" s="55" t="s">
        <v>229</v>
      </c>
      <c r="G30" s="66" t="n">
        <v>68</v>
      </c>
      <c r="H30" s="67" t="n">
        <v>1</v>
      </c>
      <c r="I30" s="36" t="s">
        <v>248</v>
      </c>
      <c r="J30" s="41" t="s">
        <v>299</v>
      </c>
      <c r="K30" s="68" t="s">
        <v>300</v>
      </c>
    </row>
    <row r="31" customFormat="false" ht="31.5" hidden="false" customHeight="true" outlineLevel="0" collapsed="false">
      <c r="B31" s="63" t="s">
        <v>301</v>
      </c>
      <c r="C31" s="64" t="n">
        <v>45</v>
      </c>
      <c r="D31" s="65" t="s">
        <v>167</v>
      </c>
      <c r="E31" s="40" t="s">
        <v>57</v>
      </c>
      <c r="F31" s="55" t="s">
        <v>229</v>
      </c>
      <c r="G31" s="66" t="n">
        <v>45</v>
      </c>
      <c r="H31" s="67" t="n">
        <v>1</v>
      </c>
      <c r="I31" s="36" t="s">
        <v>248</v>
      </c>
      <c r="J31" s="36" t="s">
        <v>249</v>
      </c>
      <c r="K31" s="68" t="s">
        <v>302</v>
      </c>
    </row>
    <row r="32" customFormat="false" ht="31.5" hidden="false" customHeight="true" outlineLevel="0" collapsed="false">
      <c r="B32" s="63" t="s">
        <v>303</v>
      </c>
      <c r="C32" s="64" t="n">
        <v>280</v>
      </c>
      <c r="D32" s="65" t="s">
        <v>121</v>
      </c>
      <c r="E32" s="40" t="s">
        <v>57</v>
      </c>
      <c r="F32" s="57" t="s">
        <v>231</v>
      </c>
      <c r="G32" s="69" t="n">
        <v>56</v>
      </c>
      <c r="H32" s="74" t="n">
        <v>0.2</v>
      </c>
      <c r="I32" s="41" t="s">
        <v>254</v>
      </c>
      <c r="J32" s="41" t="s">
        <v>304</v>
      </c>
      <c r="K32" s="68" t="s">
        <v>305</v>
      </c>
    </row>
    <row r="33" customFormat="false" ht="31.5" hidden="false" customHeight="true" outlineLevel="0" collapsed="false">
      <c r="B33" s="63" t="s">
        <v>306</v>
      </c>
      <c r="C33" s="64" t="n">
        <v>95</v>
      </c>
      <c r="D33" s="65" t="s">
        <v>190</v>
      </c>
      <c r="E33" s="40" t="s">
        <v>57</v>
      </c>
      <c r="F33" s="57" t="s">
        <v>231</v>
      </c>
      <c r="G33" s="69" t="n">
        <v>47</v>
      </c>
      <c r="H33" s="70" t="n">
        <v>0.5</v>
      </c>
      <c r="I33" s="41" t="s">
        <v>254</v>
      </c>
      <c r="J33" s="36" t="s">
        <v>249</v>
      </c>
      <c r="K33" s="68" t="s">
        <v>307</v>
      </c>
    </row>
    <row r="34" customFormat="false" ht="31.5" hidden="false" customHeight="true" outlineLevel="0" collapsed="false">
      <c r="B34" s="63" t="s">
        <v>308</v>
      </c>
      <c r="C34" s="64" t="n">
        <v>55</v>
      </c>
      <c r="D34" s="65" t="s">
        <v>190</v>
      </c>
      <c r="E34" s="40" t="s">
        <v>57</v>
      </c>
      <c r="F34" s="57" t="s">
        <v>231</v>
      </c>
      <c r="G34" s="69" t="n">
        <v>22</v>
      </c>
      <c r="H34" s="70" t="n">
        <v>0.4</v>
      </c>
      <c r="I34" s="41" t="s">
        <v>254</v>
      </c>
      <c r="J34" s="36" t="s">
        <v>249</v>
      </c>
      <c r="K34" s="68" t="s">
        <v>309</v>
      </c>
    </row>
    <row r="35" customFormat="false" ht="31.5" hidden="false" customHeight="true" outlineLevel="0" collapsed="false">
      <c r="B35" s="63" t="s">
        <v>310</v>
      </c>
      <c r="C35" s="64" t="n">
        <v>200</v>
      </c>
      <c r="D35" s="65" t="s">
        <v>311</v>
      </c>
      <c r="E35" s="40" t="s">
        <v>57</v>
      </c>
      <c r="F35" s="61" t="s">
        <v>235</v>
      </c>
      <c r="G35" s="76" t="n">
        <v>200</v>
      </c>
      <c r="H35" s="67" t="n">
        <v>1</v>
      </c>
      <c r="I35" s="36" t="s">
        <v>248</v>
      </c>
      <c r="J35" s="36" t="s">
        <v>249</v>
      </c>
      <c r="K35" s="68" t="s">
        <v>312</v>
      </c>
    </row>
    <row r="36" customFormat="false" ht="31.5" hidden="false" customHeight="true" outlineLevel="0" collapsed="false">
      <c r="B36" s="63" t="s">
        <v>313</v>
      </c>
      <c r="C36" s="64" t="n">
        <v>390</v>
      </c>
      <c r="D36" s="71" t="s">
        <v>207</v>
      </c>
      <c r="E36" s="40" t="s">
        <v>57</v>
      </c>
      <c r="F36" s="57" t="s">
        <v>231</v>
      </c>
      <c r="G36" s="69" t="n">
        <v>117</v>
      </c>
      <c r="H36" s="70" t="n">
        <v>0.3</v>
      </c>
      <c r="I36" s="41" t="s">
        <v>254</v>
      </c>
      <c r="J36" s="36" t="s">
        <v>249</v>
      </c>
      <c r="K36" s="68" t="s">
        <v>314</v>
      </c>
    </row>
    <row r="37" customFormat="false" ht="31.5" hidden="false" customHeight="true" outlineLevel="0" collapsed="false">
      <c r="B37" s="63" t="s">
        <v>315</v>
      </c>
      <c r="C37" s="64" t="n">
        <v>350.63</v>
      </c>
      <c r="D37" s="71" t="s">
        <v>207</v>
      </c>
      <c r="E37" s="72" t="s">
        <v>207</v>
      </c>
      <c r="F37" s="59" t="s">
        <v>233</v>
      </c>
      <c r="G37" s="73" t="n">
        <v>0</v>
      </c>
      <c r="H37" s="74" t="n">
        <v>0</v>
      </c>
      <c r="I37" s="75" t="s">
        <v>272</v>
      </c>
      <c r="J37" s="52" t="s">
        <v>273</v>
      </c>
      <c r="K37" s="68" t="s">
        <v>274</v>
      </c>
    </row>
    <row r="38" customFormat="false" ht="15.75" hidden="false" customHeight="true" outlineLevel="0" collapsed="false">
      <c r="B38" s="13" t="s">
        <v>316</v>
      </c>
      <c r="C38" s="13"/>
      <c r="D38" s="13"/>
      <c r="E38" s="13"/>
      <c r="F38" s="13"/>
      <c r="G38" s="78" t="n">
        <f aca="false">SUM(G8:G37)</f>
        <v>3277</v>
      </c>
      <c r="H38" s="79" t="n">
        <f aca="false">G38/SUM(C8:C37)</f>
        <v>0.55963235382017</v>
      </c>
      <c r="I38" s="80"/>
      <c r="J38" s="80"/>
      <c r="K38" s="80"/>
    </row>
  </sheetData>
  <mergeCells count="4">
    <mergeCell ref="B2:K3"/>
    <mergeCell ref="B4:K4"/>
    <mergeCell ref="B5:K5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9" min="6" style="1" width="14"/>
    <col collapsed="false" customWidth="true" hidden="false" outlineLevel="0" max="11" min="10" style="1" width="16"/>
  </cols>
  <sheetData>
    <row r="2" customFormat="false" ht="15" hidden="false" customHeight="true" outlineLevel="0" collapsed="false">
      <c r="B2" s="28" t="s">
        <v>317</v>
      </c>
      <c r="C2" s="28"/>
      <c r="D2" s="28"/>
      <c r="E2" s="28"/>
      <c r="F2" s="28"/>
      <c r="G2" s="28"/>
      <c r="H2" s="28"/>
      <c r="I2" s="28"/>
      <c r="J2" s="28"/>
      <c r="K2" s="28"/>
    </row>
    <row r="3" customFormat="false" ht="15" hidden="false" customHeight="true" outlineLevel="0" collapsed="false">
      <c r="B3" s="28"/>
      <c r="C3" s="28"/>
      <c r="D3" s="28"/>
      <c r="E3" s="28"/>
      <c r="F3" s="28"/>
      <c r="G3" s="28"/>
      <c r="H3" s="28"/>
      <c r="I3" s="28"/>
      <c r="J3" s="28"/>
      <c r="K3" s="28"/>
    </row>
    <row r="4" customFormat="false" ht="15" hidden="false" customHeight="true" outlineLevel="0" collapsed="false">
      <c r="B4" s="4" t="s">
        <v>318</v>
      </c>
      <c r="C4" s="4"/>
      <c r="D4" s="4"/>
      <c r="E4" s="4"/>
      <c r="F4" s="4"/>
      <c r="G4" s="4"/>
      <c r="H4" s="4"/>
      <c r="I4" s="4"/>
      <c r="J4" s="4"/>
      <c r="K4" s="4"/>
    </row>
    <row r="6" customFormat="false" ht="15" hidden="false" customHeight="true" outlineLevel="0" collapsed="false">
      <c r="B6" s="81" t="s">
        <v>319</v>
      </c>
      <c r="C6" s="81"/>
      <c r="D6" s="81"/>
      <c r="E6" s="81"/>
      <c r="F6" s="81"/>
      <c r="G6" s="81"/>
      <c r="H6" s="81"/>
      <c r="I6" s="81"/>
      <c r="J6" s="81"/>
      <c r="K6" s="81"/>
    </row>
    <row r="7" customFormat="false" ht="32.25" hidden="false" customHeight="true" outlineLevel="0" collapsed="false">
      <c r="B7" s="29" t="s">
        <v>320</v>
      </c>
      <c r="C7" s="29" t="s">
        <v>238</v>
      </c>
      <c r="D7" s="29" t="s">
        <v>321</v>
      </c>
      <c r="E7" s="29" t="s">
        <v>322</v>
      </c>
      <c r="F7" s="29" t="s">
        <v>323</v>
      </c>
      <c r="G7" s="29" t="s">
        <v>324</v>
      </c>
      <c r="H7" s="29" t="s">
        <v>325</v>
      </c>
      <c r="I7" s="29" t="s">
        <v>326</v>
      </c>
      <c r="J7" s="29" t="s">
        <v>327</v>
      </c>
      <c r="K7" s="29" t="s">
        <v>328</v>
      </c>
      <c r="L7" s="29" t="s">
        <v>329</v>
      </c>
    </row>
    <row r="8" customFormat="false" ht="60" hidden="false" customHeight="true" outlineLevel="0" collapsed="false">
      <c r="B8" s="63" t="s">
        <v>330</v>
      </c>
      <c r="C8" s="64" t="n">
        <v>285</v>
      </c>
      <c r="D8" s="65" t="s">
        <v>105</v>
      </c>
      <c r="E8" s="32" t="s">
        <v>331</v>
      </c>
      <c r="F8" s="82" t="n">
        <v>5</v>
      </c>
      <c r="G8" s="62" t="s">
        <v>332</v>
      </c>
      <c r="H8" s="62" t="s">
        <v>333</v>
      </c>
      <c r="I8" s="83" t="s">
        <v>334</v>
      </c>
      <c r="J8" s="56" t="s">
        <v>335</v>
      </c>
      <c r="K8" s="66" t="n">
        <v>285</v>
      </c>
      <c r="L8" s="52" t="s">
        <v>336</v>
      </c>
    </row>
    <row r="9" customFormat="false" ht="60" hidden="false" customHeight="true" outlineLevel="0" collapsed="false">
      <c r="B9" s="63" t="s">
        <v>337</v>
      </c>
      <c r="C9" s="64" t="n">
        <v>420</v>
      </c>
      <c r="D9" s="65" t="s">
        <v>105</v>
      </c>
      <c r="E9" s="32" t="s">
        <v>338</v>
      </c>
      <c r="F9" s="82" t="n">
        <v>5</v>
      </c>
      <c r="G9" s="62" t="s">
        <v>339</v>
      </c>
      <c r="H9" s="62" t="s">
        <v>340</v>
      </c>
      <c r="I9" s="83" t="s">
        <v>341</v>
      </c>
      <c r="J9" s="56" t="s">
        <v>342</v>
      </c>
      <c r="K9" s="66" t="n">
        <v>420</v>
      </c>
      <c r="L9" s="52" t="s">
        <v>336</v>
      </c>
    </row>
    <row r="10" customFormat="false" ht="60" hidden="false" customHeight="true" outlineLevel="0" collapsed="false">
      <c r="B10" s="63" t="s">
        <v>343</v>
      </c>
      <c r="C10" s="64" t="n">
        <v>380</v>
      </c>
      <c r="D10" s="65" t="s">
        <v>90</v>
      </c>
      <c r="E10" s="32" t="s">
        <v>344</v>
      </c>
      <c r="F10" s="82" t="n">
        <v>5</v>
      </c>
      <c r="G10" s="62" t="s">
        <v>345</v>
      </c>
      <c r="H10" s="62" t="s">
        <v>346</v>
      </c>
      <c r="I10" s="83" t="s">
        <v>347</v>
      </c>
      <c r="J10" s="56" t="s">
        <v>348</v>
      </c>
      <c r="K10" s="66" t="n">
        <v>380</v>
      </c>
      <c r="L10" s="52" t="s">
        <v>336</v>
      </c>
    </row>
    <row r="11" customFormat="false" ht="60" hidden="false" customHeight="true" outlineLevel="0" collapsed="false">
      <c r="B11" s="63" t="s">
        <v>349</v>
      </c>
      <c r="C11" s="64" t="n">
        <v>180</v>
      </c>
      <c r="D11" s="65" t="s">
        <v>174</v>
      </c>
      <c r="E11" s="32" t="s">
        <v>350</v>
      </c>
      <c r="F11" s="82" t="n">
        <v>4</v>
      </c>
      <c r="G11" s="62" t="s">
        <v>351</v>
      </c>
      <c r="H11" s="62" t="s">
        <v>352</v>
      </c>
      <c r="I11" s="83" t="s">
        <v>353</v>
      </c>
      <c r="J11" s="58" t="s">
        <v>354</v>
      </c>
      <c r="K11" s="66" t="n">
        <v>144</v>
      </c>
      <c r="L11" s="52" t="s">
        <v>336</v>
      </c>
    </row>
    <row r="12" customFormat="false" ht="60" hidden="false" customHeight="true" outlineLevel="0" collapsed="false">
      <c r="B12" s="63" t="s">
        <v>355</v>
      </c>
      <c r="C12" s="64" t="n">
        <v>185</v>
      </c>
      <c r="D12" s="77" t="s">
        <v>82</v>
      </c>
      <c r="E12" s="32" t="s">
        <v>356</v>
      </c>
      <c r="F12" s="82" t="n">
        <v>5</v>
      </c>
      <c r="G12" s="62" t="s">
        <v>357</v>
      </c>
      <c r="H12" s="62" t="s">
        <v>358</v>
      </c>
      <c r="I12" s="83" t="s">
        <v>359</v>
      </c>
      <c r="J12" s="56" t="s">
        <v>360</v>
      </c>
      <c r="K12" s="66" t="n">
        <v>185</v>
      </c>
      <c r="L12" s="52" t="s">
        <v>336</v>
      </c>
    </row>
    <row r="13" customFormat="false" ht="60" hidden="false" customHeight="true" outlineLevel="0" collapsed="false">
      <c r="B13" s="63" t="s">
        <v>361</v>
      </c>
      <c r="C13" s="64" t="n">
        <v>110</v>
      </c>
      <c r="D13" s="65" t="s">
        <v>279</v>
      </c>
      <c r="E13" s="32" t="s">
        <v>362</v>
      </c>
      <c r="F13" s="82" t="n">
        <v>5</v>
      </c>
      <c r="G13" s="62" t="s">
        <v>363</v>
      </c>
      <c r="H13" s="62" t="s">
        <v>364</v>
      </c>
      <c r="I13" s="83" t="s">
        <v>365</v>
      </c>
      <c r="J13" s="56" t="s">
        <v>366</v>
      </c>
      <c r="K13" s="66" t="n">
        <v>110</v>
      </c>
      <c r="L13" s="52" t="s">
        <v>336</v>
      </c>
    </row>
    <row r="14" customFormat="false" ht="60" hidden="false" customHeight="true" outlineLevel="0" collapsed="false">
      <c r="B14" s="63" t="s">
        <v>367</v>
      </c>
      <c r="C14" s="64" t="n">
        <v>145</v>
      </c>
      <c r="D14" s="65" t="s">
        <v>159</v>
      </c>
      <c r="E14" s="32" t="s">
        <v>368</v>
      </c>
      <c r="F14" s="82" t="n">
        <v>5</v>
      </c>
      <c r="G14" s="62" t="s">
        <v>369</v>
      </c>
      <c r="H14" s="62" t="s">
        <v>370</v>
      </c>
      <c r="I14" s="83" t="s">
        <v>371</v>
      </c>
      <c r="J14" s="56" t="s">
        <v>372</v>
      </c>
      <c r="K14" s="66" t="n">
        <v>145</v>
      </c>
      <c r="L14" s="52" t="s">
        <v>336</v>
      </c>
    </row>
    <row r="15" customFormat="false" ht="60" hidden="false" customHeight="true" outlineLevel="0" collapsed="false">
      <c r="B15" s="63" t="s">
        <v>373</v>
      </c>
      <c r="C15" s="64" t="n">
        <v>68</v>
      </c>
      <c r="D15" s="65" t="s">
        <v>129</v>
      </c>
      <c r="E15" s="32" t="s">
        <v>374</v>
      </c>
      <c r="F15" s="82" t="n">
        <v>4</v>
      </c>
      <c r="G15" s="62" t="s">
        <v>375</v>
      </c>
      <c r="H15" s="62" t="s">
        <v>376</v>
      </c>
      <c r="I15" s="83" t="s">
        <v>377</v>
      </c>
      <c r="J15" s="56" t="s">
        <v>378</v>
      </c>
      <c r="K15" s="66" t="n">
        <v>68</v>
      </c>
      <c r="L15" s="52" t="s">
        <v>336</v>
      </c>
    </row>
    <row r="16" customFormat="false" ht="60" hidden="false" customHeight="true" outlineLevel="0" collapsed="false">
      <c r="B16" s="63" t="s">
        <v>379</v>
      </c>
      <c r="C16" s="64" t="n">
        <v>85</v>
      </c>
      <c r="D16" s="65" t="s">
        <v>136</v>
      </c>
      <c r="E16" s="32" t="s">
        <v>380</v>
      </c>
      <c r="F16" s="82" t="n">
        <v>4</v>
      </c>
      <c r="G16" s="62" t="s">
        <v>381</v>
      </c>
      <c r="H16" s="62" t="s">
        <v>382</v>
      </c>
      <c r="I16" s="83" t="s">
        <v>383</v>
      </c>
      <c r="J16" s="56" t="s">
        <v>384</v>
      </c>
      <c r="K16" s="66" t="n">
        <v>85</v>
      </c>
      <c r="L16" s="52" t="s">
        <v>336</v>
      </c>
    </row>
    <row r="17" customFormat="false" ht="60" hidden="false" customHeight="true" outlineLevel="0" collapsed="false">
      <c r="B17" s="63" t="s">
        <v>385</v>
      </c>
      <c r="C17" s="64" t="n">
        <v>200</v>
      </c>
      <c r="D17" s="65" t="s">
        <v>311</v>
      </c>
      <c r="E17" s="32" t="s">
        <v>386</v>
      </c>
      <c r="F17" s="82" t="n">
        <v>4</v>
      </c>
      <c r="G17" s="62" t="s">
        <v>387</v>
      </c>
      <c r="H17" s="62" t="s">
        <v>388</v>
      </c>
      <c r="I17" s="83" t="s">
        <v>389</v>
      </c>
      <c r="J17" s="56" t="s">
        <v>390</v>
      </c>
      <c r="K17" s="66" t="n">
        <v>200</v>
      </c>
      <c r="L17" s="52" t="s">
        <v>336</v>
      </c>
    </row>
    <row r="18" customFormat="false" ht="60" hidden="false" customHeight="true" outlineLevel="0" collapsed="false">
      <c r="B18" s="84" t="s">
        <v>391</v>
      </c>
      <c r="C18" s="85" t="s">
        <v>392</v>
      </c>
      <c r="D18" s="86" t="s">
        <v>393</v>
      </c>
      <c r="E18" s="87" t="s">
        <v>394</v>
      </c>
      <c r="F18" s="85" t="s">
        <v>395</v>
      </c>
      <c r="G18" s="87" t="s">
        <v>396</v>
      </c>
      <c r="H18" s="87" t="s">
        <v>397</v>
      </c>
      <c r="I18" s="87" t="s">
        <v>398</v>
      </c>
      <c r="J18" s="87" t="s">
        <v>399</v>
      </c>
      <c r="K18" s="85" t="s">
        <v>400</v>
      </c>
      <c r="L18" s="52" t="s">
        <v>401</v>
      </c>
    </row>
  </sheetData>
  <mergeCells count="3">
    <mergeCell ref="B2:K3"/>
    <mergeCell ref="B4:K4"/>
    <mergeCell ref="B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8"/>
  </cols>
  <sheetData>
    <row r="2" customFormat="false" ht="15" hidden="false" customHeight="true" outlineLevel="0" collapsed="false">
      <c r="B2" s="28" t="s">
        <v>402</v>
      </c>
      <c r="C2" s="28"/>
      <c r="D2" s="28"/>
      <c r="E2" s="28"/>
      <c r="F2" s="28"/>
      <c r="G2" s="28"/>
      <c r="H2" s="28"/>
      <c r="I2" s="28"/>
      <c r="J2" s="28"/>
      <c r="K2" s="28"/>
    </row>
    <row r="3" customFormat="false" ht="15" hidden="false" customHeight="true" outlineLevel="0" collapsed="false">
      <c r="B3" s="28"/>
      <c r="C3" s="28"/>
      <c r="D3" s="28"/>
      <c r="E3" s="28"/>
      <c r="F3" s="28"/>
      <c r="G3" s="28"/>
      <c r="H3" s="28"/>
      <c r="I3" s="28"/>
      <c r="J3" s="28"/>
      <c r="K3" s="28"/>
    </row>
    <row r="4" customFormat="false" ht="15" hidden="false" customHeight="true" outlineLevel="0" collapsed="false">
      <c r="B4" s="4" t="s">
        <v>403</v>
      </c>
      <c r="C4" s="4"/>
      <c r="D4" s="4"/>
      <c r="E4" s="4"/>
      <c r="F4" s="4"/>
      <c r="G4" s="4"/>
      <c r="H4" s="4"/>
      <c r="I4" s="4"/>
      <c r="J4" s="4"/>
      <c r="K4" s="4"/>
    </row>
    <row r="5" customFormat="false" ht="21.75" hidden="false" customHeight="true" outlineLevel="0" collapsed="false">
      <c r="B5" s="88" t="s">
        <v>404</v>
      </c>
      <c r="C5" s="88"/>
      <c r="D5" s="89" t="s">
        <v>405</v>
      </c>
      <c r="E5" s="89"/>
      <c r="F5" s="90" t="s">
        <v>406</v>
      </c>
      <c r="G5" s="90"/>
      <c r="H5" s="91" t="s">
        <v>407</v>
      </c>
      <c r="I5" s="91"/>
      <c r="J5" s="92" t="s">
        <v>408</v>
      </c>
      <c r="K5" s="92"/>
    </row>
    <row r="6" customFormat="false" ht="32.25" hidden="false" customHeight="true" outlineLevel="0" collapsed="false">
      <c r="B6" s="93" t="s">
        <v>409</v>
      </c>
      <c r="C6" s="93" t="s">
        <v>410</v>
      </c>
      <c r="D6" s="93" t="s">
        <v>411</v>
      </c>
      <c r="E6" s="93" t="s">
        <v>412</v>
      </c>
      <c r="F6" s="93" t="s">
        <v>413</v>
      </c>
      <c r="G6" s="93" t="s">
        <v>414</v>
      </c>
      <c r="H6" s="93" t="s">
        <v>415</v>
      </c>
      <c r="I6" s="93" t="s">
        <v>416</v>
      </c>
      <c r="J6" s="93" t="s">
        <v>417</v>
      </c>
      <c r="K6" s="93" t="s">
        <v>418</v>
      </c>
    </row>
    <row r="7" customFormat="false" ht="48" hidden="false" customHeight="true" outlineLevel="0" collapsed="false">
      <c r="B7" s="38" t="s">
        <v>419</v>
      </c>
      <c r="C7" s="63" t="s">
        <v>420</v>
      </c>
      <c r="D7" s="94" t="s">
        <v>421</v>
      </c>
      <c r="E7" s="35" t="s">
        <v>422</v>
      </c>
      <c r="F7" s="39" t="s">
        <v>423</v>
      </c>
      <c r="G7" s="26" t="s">
        <v>424</v>
      </c>
      <c r="H7" s="32" t="s">
        <v>425</v>
      </c>
      <c r="I7" s="34" t="s">
        <v>426</v>
      </c>
      <c r="J7" s="95" t="s">
        <v>427</v>
      </c>
      <c r="K7" s="72" t="s">
        <v>428</v>
      </c>
    </row>
    <row r="8" customFormat="false" ht="48" hidden="false" customHeight="true" outlineLevel="0" collapsed="false">
      <c r="B8" s="8"/>
      <c r="C8" s="63" t="s">
        <v>429</v>
      </c>
      <c r="D8" s="94" t="s">
        <v>430</v>
      </c>
      <c r="E8" s="72" t="s">
        <v>431</v>
      </c>
      <c r="F8" s="39" t="s">
        <v>432</v>
      </c>
      <c r="G8" s="26" t="s">
        <v>433</v>
      </c>
      <c r="H8" s="32" t="s">
        <v>434</v>
      </c>
      <c r="I8" s="34" t="s">
        <v>435</v>
      </c>
      <c r="J8" s="95" t="s">
        <v>427</v>
      </c>
      <c r="K8" s="72" t="s">
        <v>436</v>
      </c>
    </row>
    <row r="9" customFormat="false" ht="48" hidden="false" customHeight="true" outlineLevel="0" collapsed="false">
      <c r="B9" s="8"/>
      <c r="C9" s="63" t="s">
        <v>437</v>
      </c>
      <c r="D9" s="94" t="s">
        <v>438</v>
      </c>
      <c r="E9" s="96" t="s">
        <v>439</v>
      </c>
      <c r="F9" s="39" t="s">
        <v>440</v>
      </c>
      <c r="G9" s="26" t="s">
        <v>441</v>
      </c>
      <c r="H9" s="32" t="s">
        <v>442</v>
      </c>
      <c r="I9" s="34" t="s">
        <v>443</v>
      </c>
      <c r="J9" s="95" t="s">
        <v>444</v>
      </c>
      <c r="K9" s="72" t="s">
        <v>445</v>
      </c>
    </row>
    <row r="10" customFormat="false" ht="48" hidden="false" customHeight="true" outlineLevel="0" collapsed="false">
      <c r="B10" s="8"/>
      <c r="C10" s="63" t="s">
        <v>446</v>
      </c>
      <c r="D10" s="94" t="s">
        <v>447</v>
      </c>
      <c r="E10" s="96" t="s">
        <v>448</v>
      </c>
      <c r="F10" s="39" t="s">
        <v>449</v>
      </c>
      <c r="G10" s="26" t="s">
        <v>450</v>
      </c>
      <c r="H10" s="32" t="s">
        <v>451</v>
      </c>
      <c r="I10" s="34" t="s">
        <v>452</v>
      </c>
      <c r="J10" s="95" t="s">
        <v>453</v>
      </c>
      <c r="K10" s="72" t="s">
        <v>454</v>
      </c>
    </row>
    <row r="11" customFormat="false" ht="48" hidden="false" customHeight="true" outlineLevel="0" collapsed="false">
      <c r="B11" s="8"/>
      <c r="C11" s="63" t="s">
        <v>455</v>
      </c>
      <c r="D11" s="94" t="s">
        <v>456</v>
      </c>
      <c r="E11" s="35" t="s">
        <v>422</v>
      </c>
      <c r="F11" s="39" t="s">
        <v>457</v>
      </c>
      <c r="G11" s="26" t="s">
        <v>458</v>
      </c>
      <c r="H11" s="32" t="s">
        <v>459</v>
      </c>
      <c r="I11" s="34" t="s">
        <v>460</v>
      </c>
      <c r="J11" s="95" t="s">
        <v>427</v>
      </c>
      <c r="K11" s="72" t="s">
        <v>461</v>
      </c>
    </row>
    <row r="12" customFormat="false" ht="48" hidden="false" customHeight="true" outlineLevel="0" collapsed="false">
      <c r="B12" s="8"/>
      <c r="C12" s="63" t="s">
        <v>462</v>
      </c>
      <c r="D12" s="94" t="s">
        <v>463</v>
      </c>
      <c r="E12" s="72" t="s">
        <v>464</v>
      </c>
      <c r="F12" s="39" t="s">
        <v>465</v>
      </c>
      <c r="G12" s="26" t="s">
        <v>466</v>
      </c>
      <c r="H12" s="32" t="s">
        <v>467</v>
      </c>
      <c r="I12" s="34" t="s">
        <v>468</v>
      </c>
      <c r="J12" s="95" t="s">
        <v>469</v>
      </c>
      <c r="K12" s="72" t="s">
        <v>470</v>
      </c>
    </row>
    <row r="13" customFormat="false" ht="48" hidden="false" customHeight="true" outlineLevel="0" collapsed="false">
      <c r="B13" s="8"/>
      <c r="C13" s="63" t="s">
        <v>471</v>
      </c>
      <c r="D13" s="94" t="s">
        <v>472</v>
      </c>
      <c r="E13" s="48" t="s">
        <v>473</v>
      </c>
      <c r="F13" s="39" t="s">
        <v>474</v>
      </c>
      <c r="G13" s="26" t="s">
        <v>475</v>
      </c>
      <c r="H13" s="32" t="s">
        <v>476</v>
      </c>
      <c r="I13" s="34" t="s">
        <v>477</v>
      </c>
      <c r="J13" s="95" t="s">
        <v>427</v>
      </c>
      <c r="K13" s="72" t="s">
        <v>478</v>
      </c>
    </row>
    <row r="14" customFormat="false" ht="48" hidden="false" customHeight="true" outlineLevel="0" collapsed="false">
      <c r="B14" s="30" t="s">
        <v>479</v>
      </c>
      <c r="C14" s="63" t="s">
        <v>480</v>
      </c>
      <c r="D14" s="94" t="s">
        <v>481</v>
      </c>
      <c r="E14" s="35" t="s">
        <v>482</v>
      </c>
      <c r="F14" s="39" t="s">
        <v>483</v>
      </c>
      <c r="G14" s="26" t="s">
        <v>484</v>
      </c>
      <c r="H14" s="32" t="s">
        <v>485</v>
      </c>
      <c r="I14" s="34" t="s">
        <v>486</v>
      </c>
      <c r="J14" s="95" t="s">
        <v>427</v>
      </c>
      <c r="K14" s="72" t="s">
        <v>487</v>
      </c>
    </row>
    <row r="15" customFormat="false" ht="48" hidden="false" customHeight="true" outlineLevel="0" collapsed="false">
      <c r="B15" s="16"/>
      <c r="C15" s="63" t="s">
        <v>488</v>
      </c>
      <c r="D15" s="94" t="s">
        <v>489</v>
      </c>
      <c r="E15" s="35" t="s">
        <v>490</v>
      </c>
      <c r="F15" s="39" t="s">
        <v>491</v>
      </c>
      <c r="G15" s="26" t="s">
        <v>492</v>
      </c>
      <c r="H15" s="32" t="s">
        <v>493</v>
      </c>
      <c r="I15" s="34" t="s">
        <v>494</v>
      </c>
      <c r="J15" s="95" t="s">
        <v>427</v>
      </c>
      <c r="K15" s="72" t="s">
        <v>495</v>
      </c>
    </row>
    <row r="16" customFormat="false" ht="48" hidden="false" customHeight="true" outlineLevel="0" collapsed="false">
      <c r="B16" s="16"/>
      <c r="C16" s="63" t="s">
        <v>496</v>
      </c>
      <c r="D16" s="94" t="s">
        <v>497</v>
      </c>
      <c r="E16" s="97" t="s">
        <v>498</v>
      </c>
      <c r="F16" s="39" t="s">
        <v>499</v>
      </c>
      <c r="G16" s="26" t="s">
        <v>500</v>
      </c>
      <c r="H16" s="32" t="s">
        <v>501</v>
      </c>
      <c r="I16" s="34" t="s">
        <v>502</v>
      </c>
      <c r="J16" s="95" t="s">
        <v>444</v>
      </c>
      <c r="K16" s="72" t="s">
        <v>503</v>
      </c>
    </row>
    <row r="17" customFormat="false" ht="48" hidden="false" customHeight="true" outlineLevel="0" collapsed="false">
      <c r="B17" s="16"/>
      <c r="C17" s="63" t="s">
        <v>504</v>
      </c>
      <c r="D17" s="94" t="s">
        <v>505</v>
      </c>
      <c r="E17" s="35" t="s">
        <v>506</v>
      </c>
      <c r="F17" s="39" t="s">
        <v>507</v>
      </c>
      <c r="G17" s="26" t="s">
        <v>508</v>
      </c>
      <c r="H17" s="32" t="s">
        <v>509</v>
      </c>
      <c r="I17" s="34" t="s">
        <v>510</v>
      </c>
      <c r="J17" s="95" t="s">
        <v>453</v>
      </c>
      <c r="K17" s="72" t="s">
        <v>511</v>
      </c>
    </row>
    <row r="18" customFormat="false" ht="48" hidden="false" customHeight="true" outlineLevel="0" collapsed="false">
      <c r="B18" s="16"/>
      <c r="C18" s="63" t="s">
        <v>512</v>
      </c>
      <c r="D18" s="94" t="s">
        <v>513</v>
      </c>
      <c r="E18" s="96" t="s">
        <v>514</v>
      </c>
      <c r="F18" s="39" t="s">
        <v>515</v>
      </c>
      <c r="G18" s="26" t="s">
        <v>516</v>
      </c>
      <c r="H18" s="32" t="s">
        <v>517</v>
      </c>
      <c r="I18" s="34" t="s">
        <v>518</v>
      </c>
      <c r="J18" s="95" t="s">
        <v>427</v>
      </c>
      <c r="K18" s="72" t="s">
        <v>519</v>
      </c>
    </row>
    <row r="19" customFormat="false" ht="48" hidden="false" customHeight="true" outlineLevel="0" collapsed="false">
      <c r="B19" s="98" t="s">
        <v>520</v>
      </c>
      <c r="C19" s="63" t="s">
        <v>521</v>
      </c>
      <c r="D19" s="94" t="s">
        <v>522</v>
      </c>
      <c r="E19" s="35" t="s">
        <v>422</v>
      </c>
      <c r="F19" s="39" t="s">
        <v>523</v>
      </c>
      <c r="G19" s="26" t="s">
        <v>524</v>
      </c>
      <c r="H19" s="32" t="s">
        <v>525</v>
      </c>
      <c r="I19" s="34" t="s">
        <v>526</v>
      </c>
      <c r="J19" s="95" t="s">
        <v>427</v>
      </c>
      <c r="K19" s="72" t="s">
        <v>527</v>
      </c>
    </row>
    <row r="20" customFormat="false" ht="48" hidden="false" customHeight="true" outlineLevel="0" collapsed="false">
      <c r="B20" s="27"/>
      <c r="C20" s="63" t="s">
        <v>528</v>
      </c>
      <c r="D20" s="94" t="s">
        <v>529</v>
      </c>
      <c r="E20" s="97" t="s">
        <v>530</v>
      </c>
      <c r="F20" s="39" t="s">
        <v>531</v>
      </c>
      <c r="G20" s="26" t="s">
        <v>532</v>
      </c>
      <c r="H20" s="32" t="s">
        <v>533</v>
      </c>
      <c r="I20" s="34" t="s">
        <v>534</v>
      </c>
      <c r="J20" s="95" t="s">
        <v>453</v>
      </c>
      <c r="K20" s="72" t="s">
        <v>535</v>
      </c>
    </row>
    <row r="21" customFormat="false" ht="48" hidden="false" customHeight="true" outlineLevel="0" collapsed="false">
      <c r="B21" s="27"/>
      <c r="C21" s="63" t="s">
        <v>536</v>
      </c>
      <c r="D21" s="94" t="s">
        <v>537</v>
      </c>
      <c r="E21" s="35" t="s">
        <v>538</v>
      </c>
      <c r="F21" s="39" t="s">
        <v>539</v>
      </c>
      <c r="G21" s="26" t="s">
        <v>540</v>
      </c>
      <c r="H21" s="32" t="s">
        <v>541</v>
      </c>
      <c r="I21" s="34" t="s">
        <v>542</v>
      </c>
      <c r="J21" s="95" t="s">
        <v>469</v>
      </c>
      <c r="K21" s="72" t="s">
        <v>543</v>
      </c>
    </row>
    <row r="22" customFormat="false" ht="48" hidden="false" customHeight="true" outlineLevel="0" collapsed="false">
      <c r="B22" s="99" t="s">
        <v>544</v>
      </c>
      <c r="C22" s="63" t="s">
        <v>545</v>
      </c>
      <c r="D22" s="94" t="s">
        <v>546</v>
      </c>
      <c r="E22" s="72" t="s">
        <v>431</v>
      </c>
      <c r="F22" s="39" t="s">
        <v>547</v>
      </c>
      <c r="G22" s="26" t="s">
        <v>433</v>
      </c>
      <c r="H22" s="32" t="s">
        <v>548</v>
      </c>
      <c r="I22" s="34" t="s">
        <v>549</v>
      </c>
      <c r="J22" s="95" t="s">
        <v>427</v>
      </c>
      <c r="K22" s="72" t="s">
        <v>550</v>
      </c>
    </row>
    <row r="23" customFormat="false" ht="48" hidden="false" customHeight="true" outlineLevel="0" collapsed="false">
      <c r="B23" s="100"/>
      <c r="C23" s="63" t="s">
        <v>551</v>
      </c>
      <c r="D23" s="94" t="s">
        <v>552</v>
      </c>
      <c r="E23" s="97" t="s">
        <v>530</v>
      </c>
      <c r="F23" s="39" t="s">
        <v>553</v>
      </c>
      <c r="G23" s="26" t="s">
        <v>554</v>
      </c>
      <c r="H23" s="32" t="s">
        <v>555</v>
      </c>
      <c r="I23" s="34" t="s">
        <v>556</v>
      </c>
      <c r="J23" s="95" t="s">
        <v>453</v>
      </c>
      <c r="K23" s="72" t="s">
        <v>557</v>
      </c>
    </row>
    <row r="24" customFormat="false" ht="48" hidden="false" customHeight="true" outlineLevel="0" collapsed="false">
      <c r="B24" s="100"/>
      <c r="C24" s="63" t="s">
        <v>558</v>
      </c>
      <c r="D24" s="94" t="s">
        <v>559</v>
      </c>
      <c r="E24" s="72" t="s">
        <v>560</v>
      </c>
      <c r="F24" s="39" t="s">
        <v>561</v>
      </c>
      <c r="G24" s="26" t="s">
        <v>562</v>
      </c>
      <c r="H24" s="32" t="s">
        <v>563</v>
      </c>
      <c r="I24" s="34" t="s">
        <v>564</v>
      </c>
      <c r="J24" s="95" t="s">
        <v>453</v>
      </c>
      <c r="K24" s="72" t="s">
        <v>565</v>
      </c>
    </row>
    <row r="25" customFormat="false" ht="48" hidden="false" customHeight="true" outlineLevel="0" collapsed="false">
      <c r="B25" s="9" t="s">
        <v>566</v>
      </c>
      <c r="C25" s="63" t="s">
        <v>567</v>
      </c>
      <c r="D25" s="94" t="s">
        <v>568</v>
      </c>
      <c r="E25" s="35" t="s">
        <v>569</v>
      </c>
      <c r="F25" s="39" t="s">
        <v>570</v>
      </c>
      <c r="G25" s="26" t="s">
        <v>571</v>
      </c>
      <c r="H25" s="32" t="s">
        <v>572</v>
      </c>
      <c r="I25" s="34" t="s">
        <v>573</v>
      </c>
      <c r="J25" s="95" t="s">
        <v>453</v>
      </c>
      <c r="K25" s="72" t="s">
        <v>574</v>
      </c>
    </row>
    <row r="26" customFormat="false" ht="48" hidden="false" customHeight="true" outlineLevel="0" collapsed="false">
      <c r="B26" s="21"/>
      <c r="C26" s="63" t="s">
        <v>575</v>
      </c>
      <c r="D26" s="94" t="s">
        <v>576</v>
      </c>
      <c r="E26" s="35" t="s">
        <v>577</v>
      </c>
      <c r="F26" s="39" t="s">
        <v>578</v>
      </c>
      <c r="G26" s="26" t="s">
        <v>579</v>
      </c>
      <c r="H26" s="32" t="s">
        <v>580</v>
      </c>
      <c r="I26" s="34" t="s">
        <v>581</v>
      </c>
      <c r="J26" s="95" t="s">
        <v>427</v>
      </c>
      <c r="K26" s="72" t="s">
        <v>582</v>
      </c>
    </row>
    <row r="27" customFormat="false" ht="48" hidden="false" customHeight="true" outlineLevel="0" collapsed="false">
      <c r="B27" s="21"/>
      <c r="C27" s="63" t="s">
        <v>583</v>
      </c>
      <c r="D27" s="94" t="s">
        <v>584</v>
      </c>
      <c r="E27" s="97" t="s">
        <v>530</v>
      </c>
      <c r="F27" s="39" t="s">
        <v>585</v>
      </c>
      <c r="G27" s="26" t="s">
        <v>586</v>
      </c>
      <c r="H27" s="32" t="s">
        <v>587</v>
      </c>
      <c r="I27" s="34" t="s">
        <v>588</v>
      </c>
      <c r="J27" s="95" t="s">
        <v>453</v>
      </c>
      <c r="K27" s="72" t="s">
        <v>503</v>
      </c>
    </row>
    <row r="28" customFormat="false" ht="48" hidden="false" customHeight="true" outlineLevel="0" collapsed="false">
      <c r="B28" s="21"/>
      <c r="C28" s="63" t="s">
        <v>589</v>
      </c>
      <c r="D28" s="94" t="s">
        <v>590</v>
      </c>
      <c r="E28" s="97" t="s">
        <v>591</v>
      </c>
      <c r="F28" s="39" t="s">
        <v>592</v>
      </c>
      <c r="G28" s="26" t="s">
        <v>593</v>
      </c>
      <c r="H28" s="32" t="s">
        <v>594</v>
      </c>
      <c r="I28" s="34" t="s">
        <v>595</v>
      </c>
      <c r="J28" s="95" t="s">
        <v>469</v>
      </c>
      <c r="K28" s="72" t="s">
        <v>596</v>
      </c>
    </row>
    <row r="29" customFormat="false" ht="48" hidden="false" customHeight="true" outlineLevel="0" collapsed="false">
      <c r="B29" s="21"/>
      <c r="C29" s="63" t="s">
        <v>597</v>
      </c>
      <c r="D29" s="94" t="s">
        <v>598</v>
      </c>
      <c r="E29" s="97" t="s">
        <v>599</v>
      </c>
      <c r="F29" s="39" t="s">
        <v>600</v>
      </c>
      <c r="G29" s="26" t="s">
        <v>601</v>
      </c>
      <c r="H29" s="32" t="s">
        <v>602</v>
      </c>
      <c r="I29" s="34" t="s">
        <v>603</v>
      </c>
      <c r="J29" s="95" t="s">
        <v>427</v>
      </c>
      <c r="K29" s="72" t="s">
        <v>436</v>
      </c>
    </row>
    <row r="30" customFormat="false" ht="48" hidden="false" customHeight="true" outlineLevel="0" collapsed="false">
      <c r="B30" s="21"/>
      <c r="C30" s="63" t="s">
        <v>604</v>
      </c>
      <c r="D30" s="94" t="s">
        <v>605</v>
      </c>
      <c r="E30" s="72" t="s">
        <v>606</v>
      </c>
      <c r="F30" s="39" t="s">
        <v>607</v>
      </c>
      <c r="G30" s="26" t="s">
        <v>608</v>
      </c>
      <c r="H30" s="32" t="s">
        <v>609</v>
      </c>
      <c r="I30" s="34" t="s">
        <v>610</v>
      </c>
      <c r="J30" s="95" t="s">
        <v>427</v>
      </c>
      <c r="K30" s="72" t="s">
        <v>611</v>
      </c>
    </row>
    <row r="31" customFormat="false" ht="48" hidden="false" customHeight="true" outlineLevel="0" collapsed="false">
      <c r="B31" s="21"/>
      <c r="C31" s="63" t="s">
        <v>612</v>
      </c>
      <c r="D31" s="94" t="s">
        <v>613</v>
      </c>
      <c r="E31" s="72" t="s">
        <v>614</v>
      </c>
      <c r="F31" s="39" t="s">
        <v>615</v>
      </c>
      <c r="G31" s="26" t="s">
        <v>616</v>
      </c>
      <c r="H31" s="32" t="s">
        <v>617</v>
      </c>
      <c r="I31" s="34" t="s">
        <v>618</v>
      </c>
      <c r="J31" s="95" t="s">
        <v>469</v>
      </c>
      <c r="K31" s="72" t="s">
        <v>619</v>
      </c>
    </row>
    <row r="32" customFormat="false" ht="48" hidden="false" customHeight="true" outlineLevel="0" collapsed="false">
      <c r="B32" s="21"/>
      <c r="C32" s="63" t="s">
        <v>620</v>
      </c>
      <c r="D32" s="94" t="s">
        <v>621</v>
      </c>
      <c r="E32" s="96" t="s">
        <v>622</v>
      </c>
      <c r="F32" s="39" t="s">
        <v>623</v>
      </c>
      <c r="G32" s="26" t="s">
        <v>624</v>
      </c>
      <c r="H32" s="32" t="s">
        <v>625</v>
      </c>
      <c r="I32" s="34" t="s">
        <v>626</v>
      </c>
      <c r="J32" s="95" t="s">
        <v>427</v>
      </c>
      <c r="K32" s="72" t="s">
        <v>627</v>
      </c>
    </row>
    <row r="33" customFormat="false" ht="48" hidden="false" customHeight="true" outlineLevel="0" collapsed="false">
      <c r="B33" s="21"/>
      <c r="C33" s="63" t="s">
        <v>628</v>
      </c>
      <c r="D33" s="94" t="s">
        <v>629</v>
      </c>
      <c r="E33" s="48" t="s">
        <v>630</v>
      </c>
      <c r="F33" s="39" t="s">
        <v>631</v>
      </c>
      <c r="G33" s="26" t="s">
        <v>632</v>
      </c>
      <c r="H33" s="32" t="s">
        <v>633</v>
      </c>
      <c r="I33" s="34" t="s">
        <v>634</v>
      </c>
      <c r="J33" s="95" t="s">
        <v>453</v>
      </c>
      <c r="K33" s="72" t="s">
        <v>635</v>
      </c>
    </row>
  </sheetData>
  <mergeCells count="7">
    <mergeCell ref="B2:K3"/>
    <mergeCell ref="B4:K4"/>
    <mergeCell ref="B5:C5"/>
    <mergeCell ref="D5:E5"/>
    <mergeCell ref="F5:G5"/>
    <mergeCell ref="H5:I5"/>
    <mergeCell ref="J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2" min="8" style="1" width="14"/>
  </cols>
  <sheetData>
    <row r="2" customFormat="false" ht="15" hidden="false" customHeight="true" outlineLevel="0" collapsed="false">
      <c r="B2" s="28" t="s">
        <v>636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customFormat="false" ht="15" hidden="false" customHeight="true" outlineLevel="0" collapsed="false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customFormat="false" ht="15" hidden="false" customHeight="true" outlineLevel="0" collapsed="false">
      <c r="B4" s="4" t="s">
        <v>637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6" hidden="false" customHeight="true" outlineLevel="0" collapsed="false">
      <c r="B5" s="101" t="s">
        <v>638</v>
      </c>
      <c r="C5" s="101"/>
      <c r="D5" s="102" t="s">
        <v>639</v>
      </c>
      <c r="E5" s="91" t="s">
        <v>640</v>
      </c>
      <c r="F5" s="91"/>
      <c r="G5" s="103" t="s">
        <v>641</v>
      </c>
      <c r="H5" s="104" t="s">
        <v>642</v>
      </c>
      <c r="I5" s="104"/>
      <c r="J5" s="105" t="s">
        <v>643</v>
      </c>
      <c r="K5" s="92" t="s">
        <v>644</v>
      </c>
      <c r="L5" s="92"/>
      <c r="M5" s="106" t="s">
        <v>645</v>
      </c>
    </row>
    <row r="6" customFormat="false" ht="32.25" hidden="false" customHeight="true" outlineLevel="0" collapsed="false">
      <c r="B6" s="93" t="s">
        <v>646</v>
      </c>
      <c r="C6" s="93" t="s">
        <v>647</v>
      </c>
      <c r="D6" s="93" t="s">
        <v>648</v>
      </c>
      <c r="E6" s="93" t="s">
        <v>649</v>
      </c>
      <c r="F6" s="93" t="s">
        <v>650</v>
      </c>
      <c r="G6" s="93" t="s">
        <v>651</v>
      </c>
      <c r="H6" s="93" t="s">
        <v>652</v>
      </c>
      <c r="I6" s="93" t="s">
        <v>653</v>
      </c>
      <c r="J6" s="93" t="s">
        <v>654</v>
      </c>
      <c r="K6" s="93" t="s">
        <v>655</v>
      </c>
      <c r="L6" s="93" t="s">
        <v>656</v>
      </c>
      <c r="M6" s="93" t="s">
        <v>657</v>
      </c>
    </row>
    <row r="7" customFormat="false" ht="39.75" hidden="false" customHeight="true" outlineLevel="0" collapsed="false">
      <c r="B7" s="39" t="s">
        <v>658</v>
      </c>
      <c r="C7" s="64" t="n">
        <v>285</v>
      </c>
      <c r="D7" s="64" t="n">
        <v>85</v>
      </c>
      <c r="E7" s="56" t="s">
        <v>659</v>
      </c>
      <c r="F7" s="64" t="n">
        <v>140</v>
      </c>
      <c r="G7" s="83" t="s">
        <v>660</v>
      </c>
      <c r="H7" s="64" t="n">
        <v>30</v>
      </c>
      <c r="I7" s="107" t="s">
        <v>661</v>
      </c>
      <c r="J7" s="69" t="n">
        <v>30</v>
      </c>
      <c r="K7" s="108" t="n">
        <f aca="false">D7+F7+H7+J7</f>
        <v>285</v>
      </c>
      <c r="L7" s="109" t="n">
        <f aca="false">C7-K7</f>
        <v>0</v>
      </c>
      <c r="M7" s="37" t="s">
        <v>662</v>
      </c>
    </row>
    <row r="8" customFormat="false" ht="39.75" hidden="false" customHeight="true" outlineLevel="0" collapsed="false">
      <c r="B8" s="39" t="s">
        <v>663</v>
      </c>
      <c r="C8" s="64" t="n">
        <v>420</v>
      </c>
      <c r="D8" s="64" t="n">
        <v>120</v>
      </c>
      <c r="E8" s="56" t="s">
        <v>664</v>
      </c>
      <c r="F8" s="64" t="n">
        <v>200</v>
      </c>
      <c r="G8" s="83" t="s">
        <v>665</v>
      </c>
      <c r="H8" s="64" t="n">
        <v>50</v>
      </c>
      <c r="I8" s="107" t="s">
        <v>666</v>
      </c>
      <c r="J8" s="69" t="n">
        <v>50</v>
      </c>
      <c r="K8" s="108" t="n">
        <f aca="false">D8+F8+H8+J8</f>
        <v>420</v>
      </c>
      <c r="L8" s="109" t="n">
        <f aca="false">C8-K8</f>
        <v>0</v>
      </c>
      <c r="M8" s="37" t="s">
        <v>667</v>
      </c>
    </row>
    <row r="9" customFormat="false" ht="39.75" hidden="false" customHeight="true" outlineLevel="0" collapsed="false">
      <c r="B9" s="39" t="s">
        <v>668</v>
      </c>
      <c r="C9" s="64" t="n">
        <v>380</v>
      </c>
      <c r="D9" s="64" t="n">
        <v>80</v>
      </c>
      <c r="E9" s="56" t="s">
        <v>669</v>
      </c>
      <c r="F9" s="64" t="n">
        <v>200</v>
      </c>
      <c r="G9" s="83" t="s">
        <v>670</v>
      </c>
      <c r="H9" s="64" t="n">
        <v>60</v>
      </c>
      <c r="I9" s="107" t="s">
        <v>671</v>
      </c>
      <c r="J9" s="69" t="n">
        <v>40</v>
      </c>
      <c r="K9" s="108" t="n">
        <f aca="false">D9+F9+H9+J9</f>
        <v>380</v>
      </c>
      <c r="L9" s="109" t="n">
        <f aca="false">C9-K9</f>
        <v>0</v>
      </c>
      <c r="M9" s="37" t="s">
        <v>672</v>
      </c>
    </row>
    <row r="10" customFormat="false" ht="39.75" hidden="false" customHeight="true" outlineLevel="0" collapsed="false">
      <c r="B10" s="39" t="s">
        <v>673</v>
      </c>
      <c r="C10" s="64" t="n">
        <v>185</v>
      </c>
      <c r="D10" s="64" t="n">
        <v>55</v>
      </c>
      <c r="E10" s="56" t="s">
        <v>674</v>
      </c>
      <c r="F10" s="64" t="n">
        <v>80</v>
      </c>
      <c r="G10" s="83" t="s">
        <v>675</v>
      </c>
      <c r="H10" s="64" t="n">
        <v>30</v>
      </c>
      <c r="I10" s="107" t="s">
        <v>676</v>
      </c>
      <c r="J10" s="69" t="n">
        <v>20</v>
      </c>
      <c r="K10" s="108" t="n">
        <f aca="false">D10+F10+H10+J10</f>
        <v>185</v>
      </c>
      <c r="L10" s="109" t="n">
        <f aca="false">C10-K10</f>
        <v>0</v>
      </c>
      <c r="M10" s="37" t="s">
        <v>677</v>
      </c>
    </row>
    <row r="11" customFormat="false" ht="39.75" hidden="false" customHeight="true" outlineLevel="0" collapsed="false">
      <c r="B11" s="39" t="s">
        <v>678</v>
      </c>
      <c r="C11" s="64" t="n">
        <v>110</v>
      </c>
      <c r="D11" s="64" t="n">
        <v>60</v>
      </c>
      <c r="E11" s="56" t="s">
        <v>679</v>
      </c>
      <c r="F11" s="64" t="n">
        <v>30</v>
      </c>
      <c r="G11" s="83" t="s">
        <v>680</v>
      </c>
      <c r="H11" s="64" t="n">
        <v>0</v>
      </c>
      <c r="I11" s="107" t="s">
        <v>207</v>
      </c>
      <c r="J11" s="69" t="n">
        <v>20</v>
      </c>
      <c r="K11" s="108" t="n">
        <f aca="false">D11+F11+H11+J11</f>
        <v>110</v>
      </c>
      <c r="L11" s="109" t="n">
        <f aca="false">C11-K11</f>
        <v>0</v>
      </c>
      <c r="M11" s="37" t="s">
        <v>681</v>
      </c>
    </row>
    <row r="12" customFormat="false" ht="39.75" hidden="false" customHeight="true" outlineLevel="0" collapsed="false">
      <c r="B12" s="39" t="s">
        <v>682</v>
      </c>
      <c r="C12" s="64" t="n">
        <v>145</v>
      </c>
      <c r="D12" s="64" t="n">
        <v>87</v>
      </c>
      <c r="E12" s="56" t="s">
        <v>683</v>
      </c>
      <c r="F12" s="64" t="n">
        <v>40</v>
      </c>
      <c r="G12" s="83" t="s">
        <v>684</v>
      </c>
      <c r="H12" s="64" t="n">
        <v>0</v>
      </c>
      <c r="I12" s="107" t="s">
        <v>207</v>
      </c>
      <c r="J12" s="69" t="n">
        <v>18</v>
      </c>
      <c r="K12" s="108" t="n">
        <f aca="false">D12+F12+H12+J12</f>
        <v>145</v>
      </c>
      <c r="L12" s="109" t="n">
        <f aca="false">C12-K12</f>
        <v>0</v>
      </c>
      <c r="M12" s="37" t="s">
        <v>685</v>
      </c>
    </row>
    <row r="13" customFormat="false" ht="39.75" hidden="false" customHeight="true" outlineLevel="0" collapsed="false">
      <c r="B13" s="39" t="s">
        <v>686</v>
      </c>
      <c r="C13" s="64" t="n">
        <v>95</v>
      </c>
      <c r="D13" s="64" t="n">
        <v>30</v>
      </c>
      <c r="E13" s="56" t="s">
        <v>687</v>
      </c>
      <c r="F13" s="64" t="n">
        <v>45</v>
      </c>
      <c r="G13" s="83" t="s">
        <v>688</v>
      </c>
      <c r="H13" s="64" t="n">
        <v>0</v>
      </c>
      <c r="I13" s="107" t="s">
        <v>207</v>
      </c>
      <c r="J13" s="69" t="n">
        <v>20</v>
      </c>
      <c r="K13" s="108" t="n">
        <f aca="false">D13+F13+H13+J13</f>
        <v>95</v>
      </c>
      <c r="L13" s="109" t="n">
        <f aca="false">C13-K13</f>
        <v>0</v>
      </c>
      <c r="M13" s="37" t="s">
        <v>689</v>
      </c>
    </row>
    <row r="14" customFormat="false" ht="39.75" hidden="false" customHeight="true" outlineLevel="0" collapsed="false">
      <c r="B14" s="39" t="s">
        <v>690</v>
      </c>
      <c r="C14" s="64" t="n">
        <v>68</v>
      </c>
      <c r="D14" s="64" t="n">
        <v>0</v>
      </c>
      <c r="E14" s="56" t="s">
        <v>207</v>
      </c>
      <c r="F14" s="64" t="n">
        <v>0</v>
      </c>
      <c r="G14" s="83" t="s">
        <v>207</v>
      </c>
      <c r="H14" s="64" t="n">
        <v>0</v>
      </c>
      <c r="I14" s="107" t="s">
        <v>691</v>
      </c>
      <c r="J14" s="69" t="n">
        <v>0</v>
      </c>
      <c r="K14" s="108" t="n">
        <f aca="false">D14+F14+H14+J14</f>
        <v>0</v>
      </c>
      <c r="L14" s="109" t="n">
        <f aca="false">C14-K14</f>
        <v>68</v>
      </c>
      <c r="M14" s="37" t="s">
        <v>692</v>
      </c>
    </row>
    <row r="15" customFormat="false" ht="39.75" hidden="false" customHeight="true" outlineLevel="0" collapsed="false">
      <c r="B15" s="39" t="s">
        <v>693</v>
      </c>
      <c r="C15" s="64" t="n">
        <v>85</v>
      </c>
      <c r="D15" s="64" t="n">
        <v>35</v>
      </c>
      <c r="E15" s="56" t="s">
        <v>694</v>
      </c>
      <c r="F15" s="64" t="n">
        <v>30</v>
      </c>
      <c r="G15" s="83" t="s">
        <v>695</v>
      </c>
      <c r="H15" s="64" t="n">
        <v>0</v>
      </c>
      <c r="I15" s="107" t="s">
        <v>207</v>
      </c>
      <c r="J15" s="69" t="n">
        <v>20</v>
      </c>
      <c r="K15" s="108" t="n">
        <f aca="false">D15+F15+H15+J15</f>
        <v>85</v>
      </c>
      <c r="L15" s="109" t="n">
        <f aca="false">C15-K15</f>
        <v>0</v>
      </c>
      <c r="M15" s="37" t="s">
        <v>696</v>
      </c>
    </row>
    <row r="16" customFormat="false" ht="39.75" hidden="false" customHeight="true" outlineLevel="0" collapsed="false">
      <c r="B16" s="39" t="s">
        <v>697</v>
      </c>
      <c r="C16" s="64" t="n">
        <v>45</v>
      </c>
      <c r="D16" s="64" t="n">
        <v>15</v>
      </c>
      <c r="E16" s="56" t="s">
        <v>698</v>
      </c>
      <c r="F16" s="64" t="n">
        <v>20</v>
      </c>
      <c r="G16" s="83" t="s">
        <v>699</v>
      </c>
      <c r="H16" s="64" t="n">
        <v>0</v>
      </c>
      <c r="I16" s="107" t="s">
        <v>207</v>
      </c>
      <c r="J16" s="69" t="n">
        <v>10</v>
      </c>
      <c r="K16" s="108" t="n">
        <f aca="false">D16+F16+H16+J16</f>
        <v>45</v>
      </c>
      <c r="L16" s="109" t="n">
        <f aca="false">C16-K16</f>
        <v>0</v>
      </c>
      <c r="M16" s="37" t="s">
        <v>700</v>
      </c>
    </row>
    <row r="17" customFormat="false" ht="39.75" hidden="false" customHeight="true" outlineLevel="0" collapsed="false">
      <c r="B17" s="39" t="s">
        <v>701</v>
      </c>
      <c r="C17" s="64" t="n">
        <v>500</v>
      </c>
      <c r="D17" s="64" t="n">
        <v>0</v>
      </c>
      <c r="E17" s="56" t="s">
        <v>207</v>
      </c>
      <c r="F17" s="64" t="n">
        <v>0</v>
      </c>
      <c r="G17" s="83" t="s">
        <v>207</v>
      </c>
      <c r="H17" s="64" t="n">
        <v>500</v>
      </c>
      <c r="I17" s="107" t="s">
        <v>702</v>
      </c>
      <c r="J17" s="69" t="n">
        <v>0</v>
      </c>
      <c r="K17" s="108" t="n">
        <f aca="false">D17+F17+H17+J17</f>
        <v>500</v>
      </c>
      <c r="L17" s="109" t="n">
        <f aca="false">C17-K17</f>
        <v>0</v>
      </c>
      <c r="M17" s="37" t="s">
        <v>703</v>
      </c>
    </row>
    <row r="18" customFormat="false" ht="39.75" hidden="false" customHeight="true" outlineLevel="0" collapsed="false">
      <c r="B18" s="110" t="s">
        <v>704</v>
      </c>
      <c r="C18" s="111" t="n">
        <v>0</v>
      </c>
      <c r="D18" s="111" t="n">
        <v>0</v>
      </c>
      <c r="E18" s="87" t="s">
        <v>705</v>
      </c>
      <c r="F18" s="111" t="n">
        <v>0</v>
      </c>
      <c r="G18" s="87" t="s">
        <v>706</v>
      </c>
      <c r="H18" s="111" t="n">
        <v>0</v>
      </c>
      <c r="I18" s="87" t="s">
        <v>707</v>
      </c>
      <c r="J18" s="111" t="n">
        <v>0</v>
      </c>
      <c r="K18" s="112" t="n">
        <v>0</v>
      </c>
      <c r="L18" s="113" t="n">
        <v>0</v>
      </c>
      <c r="M18" s="37" t="s">
        <v>708</v>
      </c>
    </row>
    <row r="19" customFormat="false" ht="15" hidden="false" customHeight="true" outlineLevel="0" collapsed="false">
      <c r="B19" s="114" t="s">
        <v>709</v>
      </c>
      <c r="C19" s="115" t="n">
        <f aca="false">SUM(C7:C18)</f>
        <v>2318</v>
      </c>
      <c r="D19" s="115" t="n">
        <f aca="false">SUM(D7:D18)</f>
        <v>567</v>
      </c>
      <c r="E19" s="116" t="n">
        <f aca="false">SUM(E7:E18)</f>
        <v>0</v>
      </c>
      <c r="F19" s="115" t="n">
        <f aca="false">SUM(F7:F18)</f>
        <v>785</v>
      </c>
      <c r="H19" s="115" t="n">
        <f aca="false">SUM(H7:H18)</f>
        <v>670</v>
      </c>
      <c r="J19" s="115" t="n">
        <f aca="false">SUM(J7:J18)</f>
        <v>228</v>
      </c>
      <c r="K19" s="115" t="n">
        <f aca="false">SUM(K7:K18)</f>
        <v>2250</v>
      </c>
      <c r="L19" s="115" t="n">
        <f aca="false">SUM(L7:L18)</f>
        <v>68</v>
      </c>
    </row>
  </sheetData>
  <mergeCells count="6">
    <mergeCell ref="B2:L3"/>
    <mergeCell ref="B4:L4"/>
    <mergeCell ref="B5:C5"/>
    <mergeCell ref="E5:F5"/>
    <mergeCell ref="H5:I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</cols>
  <sheetData>
    <row r="2" customFormat="false" ht="15" hidden="false" customHeight="true" outlineLevel="0" collapsed="false">
      <c r="B2" s="28" t="s">
        <v>710</v>
      </c>
      <c r="C2" s="28"/>
      <c r="D2" s="28"/>
      <c r="E2" s="28"/>
      <c r="F2" s="28"/>
      <c r="G2" s="28"/>
      <c r="H2" s="28"/>
    </row>
    <row r="3" customFormat="false" ht="15" hidden="false" customHeight="true" outlineLevel="0" collapsed="false">
      <c r="B3" s="28"/>
      <c r="C3" s="28"/>
      <c r="D3" s="28"/>
      <c r="E3" s="28"/>
      <c r="F3" s="28"/>
      <c r="G3" s="28"/>
      <c r="H3" s="28"/>
    </row>
    <row r="4" customFormat="false" ht="15" hidden="false" customHeight="true" outlineLevel="0" collapsed="false">
      <c r="B4" s="4" t="s">
        <v>711</v>
      </c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B6" s="6" t="s">
        <v>712</v>
      </c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B7" s="29" t="s">
        <v>713</v>
      </c>
      <c r="C7" s="29" t="s">
        <v>714</v>
      </c>
      <c r="D7" s="29" t="s">
        <v>715</v>
      </c>
      <c r="E7" s="29" t="s">
        <v>716</v>
      </c>
      <c r="F7" s="29" t="s">
        <v>717</v>
      </c>
      <c r="G7" s="29" t="s">
        <v>718</v>
      </c>
      <c r="H7" s="29" t="s">
        <v>719</v>
      </c>
    </row>
    <row r="8" customFormat="false" ht="49.5" hidden="false" customHeight="true" outlineLevel="0" collapsed="false">
      <c r="B8" s="117" t="s">
        <v>720</v>
      </c>
      <c r="C8" s="62" t="s">
        <v>721</v>
      </c>
      <c r="D8" s="60" t="s">
        <v>722</v>
      </c>
      <c r="E8" s="32" t="s">
        <v>723</v>
      </c>
      <c r="F8" s="118" t="s">
        <v>724</v>
      </c>
      <c r="G8" s="68" t="s">
        <v>725</v>
      </c>
      <c r="H8" s="48" t="s">
        <v>726</v>
      </c>
    </row>
    <row r="9" customFormat="false" ht="49.5" hidden="false" customHeight="true" outlineLevel="0" collapsed="false">
      <c r="B9" s="117" t="s">
        <v>727</v>
      </c>
      <c r="C9" s="62" t="s">
        <v>728</v>
      </c>
      <c r="D9" s="60" t="s">
        <v>729</v>
      </c>
      <c r="E9" s="32" t="s">
        <v>730</v>
      </c>
      <c r="F9" s="118" t="s">
        <v>724</v>
      </c>
      <c r="G9" s="68" t="s">
        <v>731</v>
      </c>
      <c r="H9" s="48" t="s">
        <v>732</v>
      </c>
    </row>
    <row r="10" customFormat="false" ht="49.5" hidden="false" customHeight="true" outlineLevel="0" collapsed="false">
      <c r="B10" s="119" t="s">
        <v>733</v>
      </c>
      <c r="C10" s="62" t="s">
        <v>734</v>
      </c>
      <c r="D10" s="58" t="s">
        <v>735</v>
      </c>
      <c r="E10" s="32" t="s">
        <v>736</v>
      </c>
      <c r="F10" s="120" t="s">
        <v>737</v>
      </c>
      <c r="G10" s="68" t="s">
        <v>738</v>
      </c>
      <c r="H10" s="48" t="s">
        <v>739</v>
      </c>
    </row>
    <row r="11" customFormat="false" ht="49.5" hidden="false" customHeight="true" outlineLevel="0" collapsed="false">
      <c r="B11" s="119" t="s">
        <v>740</v>
      </c>
      <c r="C11" s="62" t="s">
        <v>741</v>
      </c>
      <c r="D11" s="58" t="s">
        <v>742</v>
      </c>
      <c r="E11" s="32" t="s">
        <v>743</v>
      </c>
      <c r="F11" s="120" t="s">
        <v>737</v>
      </c>
      <c r="G11" s="68" t="s">
        <v>744</v>
      </c>
      <c r="H11" s="48" t="s">
        <v>745</v>
      </c>
    </row>
    <row r="12" customFormat="false" ht="49.5" hidden="false" customHeight="true" outlineLevel="0" collapsed="false">
      <c r="B12" s="47" t="s">
        <v>746</v>
      </c>
      <c r="C12" s="62" t="s">
        <v>747</v>
      </c>
      <c r="D12" s="58" t="s">
        <v>748</v>
      </c>
      <c r="E12" s="32" t="s">
        <v>749</v>
      </c>
      <c r="F12" s="121" t="s">
        <v>750</v>
      </c>
      <c r="G12" s="68" t="s">
        <v>751</v>
      </c>
      <c r="H12" s="48" t="s">
        <v>752</v>
      </c>
    </row>
    <row r="13" customFormat="false" ht="49.5" hidden="false" customHeight="true" outlineLevel="0" collapsed="false">
      <c r="B13" s="119" t="s">
        <v>753</v>
      </c>
      <c r="C13" s="62" t="s">
        <v>754</v>
      </c>
      <c r="D13" s="58" t="s">
        <v>755</v>
      </c>
      <c r="E13" s="32" t="s">
        <v>756</v>
      </c>
      <c r="F13" s="120" t="s">
        <v>737</v>
      </c>
      <c r="G13" s="68" t="s">
        <v>757</v>
      </c>
      <c r="H13" s="48" t="s">
        <v>739</v>
      </c>
    </row>
    <row r="14" customFormat="false" ht="49.5" hidden="false" customHeight="true" outlineLevel="0" collapsed="false">
      <c r="B14" s="47" t="s">
        <v>758</v>
      </c>
      <c r="C14" s="62" t="s">
        <v>759</v>
      </c>
      <c r="D14" s="58" t="s">
        <v>760</v>
      </c>
      <c r="E14" s="32" t="s">
        <v>761</v>
      </c>
      <c r="F14" s="121" t="s">
        <v>750</v>
      </c>
      <c r="G14" s="68" t="s">
        <v>762</v>
      </c>
      <c r="H14" s="48" t="s">
        <v>763</v>
      </c>
    </row>
    <row r="16" customFormat="false" ht="15" hidden="false" customHeight="true" outlineLevel="0" collapsed="false">
      <c r="B16" s="49" t="s">
        <v>764</v>
      </c>
      <c r="C16" s="49"/>
      <c r="D16" s="49"/>
      <c r="E16" s="49"/>
      <c r="F16" s="49"/>
      <c r="G16" s="49"/>
      <c r="H16" s="49"/>
    </row>
    <row r="17" customFormat="false" ht="21.75" hidden="false" customHeight="true" outlineLevel="0" collapsed="false">
      <c r="B17" s="29" t="s">
        <v>765</v>
      </c>
      <c r="C17" s="29" t="s">
        <v>719</v>
      </c>
      <c r="D17" s="29" t="s">
        <v>766</v>
      </c>
      <c r="E17" s="29" t="s">
        <v>767</v>
      </c>
      <c r="F17" s="29" t="s">
        <v>768</v>
      </c>
      <c r="G17" s="29" t="s">
        <v>769</v>
      </c>
      <c r="H17" s="29" t="s">
        <v>657</v>
      </c>
    </row>
    <row r="18" customFormat="false" ht="64.5" hidden="false" customHeight="true" outlineLevel="0" collapsed="false">
      <c r="B18" s="122" t="s">
        <v>770</v>
      </c>
      <c r="C18" s="118" t="s">
        <v>771</v>
      </c>
      <c r="D18" s="11" t="s">
        <v>772</v>
      </c>
      <c r="E18" s="123" t="s">
        <v>773</v>
      </c>
      <c r="F18" s="68" t="s">
        <v>774</v>
      </c>
      <c r="G18" s="39" t="s">
        <v>775</v>
      </c>
      <c r="H18" s="52" t="s">
        <v>776</v>
      </c>
    </row>
    <row r="19" customFormat="false" ht="64.5" hidden="false" customHeight="true" outlineLevel="0" collapsed="false">
      <c r="B19" s="124" t="s">
        <v>777</v>
      </c>
      <c r="C19" s="120" t="s">
        <v>778</v>
      </c>
      <c r="D19" s="11" t="s">
        <v>779</v>
      </c>
      <c r="E19" s="123" t="s">
        <v>780</v>
      </c>
      <c r="F19" s="68" t="s">
        <v>781</v>
      </c>
      <c r="G19" s="39" t="s">
        <v>782</v>
      </c>
      <c r="H19" s="52" t="s">
        <v>776</v>
      </c>
    </row>
    <row r="20" customFormat="false" ht="64.5" hidden="false" customHeight="true" outlineLevel="0" collapsed="false">
      <c r="B20" s="125" t="s">
        <v>783</v>
      </c>
      <c r="C20" s="126" t="s">
        <v>784</v>
      </c>
      <c r="D20" s="11" t="s">
        <v>785</v>
      </c>
      <c r="E20" s="123" t="s">
        <v>786</v>
      </c>
      <c r="F20" s="68" t="s">
        <v>787</v>
      </c>
      <c r="G20" s="39" t="s">
        <v>788</v>
      </c>
      <c r="H20" s="52" t="s">
        <v>776</v>
      </c>
    </row>
    <row r="21" customFormat="false" ht="64.5" hidden="false" customHeight="true" outlineLevel="0" collapsed="false">
      <c r="B21" s="127" t="s">
        <v>789</v>
      </c>
      <c r="C21" s="128" t="s">
        <v>790</v>
      </c>
      <c r="D21" s="11" t="s">
        <v>791</v>
      </c>
      <c r="E21" s="123" t="s">
        <v>792</v>
      </c>
      <c r="F21" s="68" t="s">
        <v>793</v>
      </c>
      <c r="G21" s="39" t="s">
        <v>794</v>
      </c>
      <c r="H21" s="52" t="s">
        <v>776</v>
      </c>
    </row>
  </sheetData>
  <mergeCells count="4">
    <mergeCell ref="B2:H3"/>
    <mergeCell ref="B4:H4"/>
    <mergeCell ref="B6:H6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2026-03-09T13:46:38Z</dcterms:created>
  <dc:creator>openpyxl</dc:creator>
  <dc:description/>
  <dc:language>en-US</dc:language>
  <cp:lastModifiedBy/>
  <dcterms:modified xsi:type="dcterms:W3CDTF">2026-03-09T13:47:24Z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