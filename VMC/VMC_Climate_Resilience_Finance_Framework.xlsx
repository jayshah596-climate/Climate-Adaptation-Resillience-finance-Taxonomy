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azard Scoring" sheetId="2" state="visible" r:id="rId4"/>
    <sheet name="Exposure &amp; Vulnerability" sheetId="3" state="visible" r:id="rId5"/>
    <sheet name="Risk Matrix" sheetId="4" state="visible" r:id="rId6"/>
    <sheet name="Project Prioritisation" sheetId="5" state="visible" r:id="rId7"/>
    <sheet name="Bond Issuance Model" sheetId="6" state="visible" r:id="rId8"/>
    <sheet name="Impact Metric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<sst xmlns="http://schemas.openxmlformats.org/spreadsheetml/2006/main" count="635" uniqueCount="503">
  <si>
    <t xml:space="preserve">VADODARA MUNICIPAL CORPORATION — CLIMATE RESILIENCE FINANCE FRAMEWORK</t>
  </si>
  <si>
    <t xml:space="preserve">Climate Bond Issuance Strategy &amp; Risk Assessment Tool  |  Aligned with Climate Bonds Standard v4.0 &amp; ICMA Green Bond Principles</t>
  </si>
  <si>
    <t xml:space="preserve">WORKBOOK NAVIGATION</t>
  </si>
  <si>
    <t xml:space="preserve">1. Dashboard</t>
  </si>
  <si>
    <t xml:space="preserve">This page — Summary KPIs and navigation</t>
  </si>
  <si>
    <t xml:space="preserve">2. Hazard Scoring</t>
  </si>
  <si>
    <t xml:space="preserve">Climate hazard scoring: flood, heat, water stress (2023–2050)</t>
  </si>
  <si>
    <t xml:space="preserve">3. Exposure &amp; Vulnerability</t>
  </si>
  <si>
    <t xml:space="preserve">Asset exposure and social vulnerability scoring</t>
  </si>
  <si>
    <t xml:space="preserve">4. Risk Matrix</t>
  </si>
  <si>
    <t xml:space="preserve">Combined risk matrix for 2030 and 2050 scenarios</t>
  </si>
  <si>
    <t xml:space="preserve">5. Project Prioritisation</t>
  </si>
  <si>
    <t xml:space="preserve">Project ranking by avoided losses and resilience impact</t>
  </si>
  <si>
    <t xml:space="preserve">6. Bond Issuance Model</t>
  </si>
  <si>
    <t xml:space="preserve">Financial model: size, tenor, coupon, investor returns</t>
  </si>
  <si>
    <t xml:space="preserve">7. Impact Metrics</t>
  </si>
  <si>
    <t xml:space="preserve">Monitoring KPIs and impact reporting framework</t>
  </si>
  <si>
    <t xml:space="preserve">KEY SUMMARY METRICS</t>
  </si>
  <si>
    <t xml:space="preserve">City Population Exposed</t>
  </si>
  <si>
    <t xml:space="preserve">Estimated Annual Losses (Climate)</t>
  </si>
  <si>
    <t xml:space="preserve">Total Investment Gap</t>
  </si>
  <si>
    <t xml:space="preserve">2,110,000</t>
  </si>
  <si>
    <t xml:space="preserve">1,250 Cr</t>
  </si>
  <si>
    <t xml:space="preserve">3,800 Cr</t>
  </si>
  <si>
    <t xml:space="preserve">residents in flood-prone zones</t>
  </si>
  <si>
    <t xml:space="preserve">per annum by 2030</t>
  </si>
  <si>
    <t xml:space="preserve">resilience infrastructure</t>
  </si>
  <si>
    <t xml:space="preserve">Proposed Bond Size</t>
  </si>
  <si>
    <t xml:space="preserve">Benefit-Cost Ratio</t>
  </si>
  <si>
    <t xml:space="preserve">Population Protected (Phase 1)</t>
  </si>
  <si>
    <t xml:space="preserve">500 Cr</t>
  </si>
  <si>
    <t xml:space="preserve">4.2x</t>
  </si>
  <si>
    <t xml:space="preserve">450,000</t>
  </si>
  <si>
    <t xml:space="preserve">Phase 1 issuance</t>
  </si>
  <si>
    <t xml:space="preserve">₹ of avoided loss per ₹ invested</t>
  </si>
  <si>
    <t xml:space="preserve">residents</t>
  </si>
  <si>
    <t xml:space="preserve">Source: IPCC AR6, IMD Climate Data, MoEFCC India, Vadodara Smart City Mission Reports, VMC Urban Flood Management Plan. Tool version 1.0 — June 2025.</t>
  </si>
  <si>
    <t xml:space="preserve">CLIMATE HAZARD SCORING MATRIX — VADODARA MUNICIPAL CORPORATION</t>
  </si>
  <si>
    <t xml:space="preserve">Scores range 1–5 (1=Low, 5=Very High). Blue cells = user inputs. Black cells = calculated. Source: IMD, IPCC AR6 South Asia, State Climate Action Plan Gujarat 2021.</t>
  </si>
  <si>
    <t xml:space="preserve">A. FLOOD HAZARD SCORING</t>
  </si>
  <si>
    <t xml:space="preserve">Indicator</t>
  </si>
  <si>
    <t xml:space="preserve">Description</t>
  </si>
  <si>
    <t xml:space="preserve">Baseline
(2023)</t>
  </si>
  <si>
    <t xml:space="preserve">2030 Score
(SSP2-4.5)</t>
  </si>
  <si>
    <t xml:space="preserve">2030 Score
(SSP5-8.5)</t>
  </si>
  <si>
    <t xml:space="preserve">2050 Score
(SSP2-4.5)</t>
  </si>
  <si>
    <t xml:space="preserve">2050 Score
(SSP5-8.5)</t>
  </si>
  <si>
    <t xml:space="preserve">Weight</t>
  </si>
  <si>
    <t xml:space="preserve">Weighted
Score 2023</t>
  </si>
  <si>
    <t xml:space="preserve">Weighted
Score 2030</t>
  </si>
  <si>
    <t xml:space="preserve">Weighted
Score 2050</t>
  </si>
  <si>
    <t xml:space="preserve">Evidence Basis</t>
  </si>
  <si>
    <t xml:space="preserve">Annual flood frequency</t>
  </si>
  <si>
    <t xml:space="preserve">No. of significant flood events per decade</t>
  </si>
  <si>
    <t xml:space="preserve">IMD 1980–2023; 18 major floods in 4 decades</t>
  </si>
  <si>
    <t xml:space="preserve">Peak rainfall intensity</t>
  </si>
  <si>
    <t xml:space="preserve">Max 24hr rainfall vs. drainage capacity</t>
  </si>
  <si>
    <t xml:space="preserve">IMD Vadodara station; 315mm recorded Aug 2019</t>
  </si>
  <si>
    <t xml:space="preserve">River flood risk (Vishwamitri)</t>
  </si>
  <si>
    <t xml:space="preserve">Riverine flood zone coverage</t>
  </si>
  <si>
    <t xml:space="preserve">CWPRS Vadodara flood modelling 2020</t>
  </si>
  <si>
    <t xml:space="preserve">Drainage infrastructure deficit</t>
  </si>
  <si>
    <t xml:space="preserve">Capacity gap relative to peak discharge</t>
  </si>
  <si>
    <t xml:space="preserve">VMC Stormwater Master Plan 2022</t>
  </si>
  <si>
    <t xml:space="preserve">Urban impervious surface expansion</t>
  </si>
  <si>
    <t xml:space="preserve">% impervious land cover growth</t>
  </si>
  <si>
    <t xml:space="preserve">ISRO LULC analysis 2010–2022</t>
  </si>
  <si>
    <t xml:space="preserve">Groundwater flooding potential</t>
  </si>
  <si>
    <t xml:space="preserve">Shallow water table interaction with floods</t>
  </si>
  <si>
    <t xml:space="preserve">CGWB Gujarat report 2022</t>
  </si>
  <si>
    <t xml:space="preserve">FLOOD HAZARD SUB-TOTAL</t>
  </si>
  <si>
    <t xml:space="preserve">B. HEAT HAZARD SCORING</t>
  </si>
  <si>
    <t xml:space="preserve">Mean temperature increase</t>
  </si>
  <si>
    <t xml:space="preserve">Projected °C rise above 1990 baseline</t>
  </si>
  <si>
    <t xml:space="preserve">IPCC AR6 WGI South Asia; IMD Gujarat trends</t>
  </si>
  <si>
    <t xml:space="preserve">Extreme heat days (&gt;40°C)</t>
  </si>
  <si>
    <t xml:space="preserve">Annual days above 40°C threshold</t>
  </si>
  <si>
    <t xml:space="preserve">IMD Vadodara 1990–2023; +18 days/decade</t>
  </si>
  <si>
    <t xml:space="preserve">Urban Heat Island intensity</t>
  </si>
  <si>
    <t xml:space="preserve">UHI difference vs. peri-urban (°C)</t>
  </si>
  <si>
    <t xml:space="preserve">ISRO-SAC land surface temperature 2022</t>
  </si>
  <si>
    <t xml:space="preserve">Heat-health risk (WBGT)</t>
  </si>
  <si>
    <t xml:space="preserve">Wet bulb globe temperature exceedance</t>
  </si>
  <si>
    <t xml:space="preserve">WHO HHAP India Guidance 2021</t>
  </si>
  <si>
    <t xml:space="preserve">Labour productivity loss</t>
  </si>
  <si>
    <t xml:space="preserve">% productivity reduction in outdoor work</t>
  </si>
  <si>
    <t xml:space="preserve">ILO 2019 report; McKinsey India Heat 2020</t>
  </si>
  <si>
    <t xml:space="preserve">Nighttime cooling deficit</t>
  </si>
  <si>
    <t xml:space="preserve">Warm nights limiting recovery</t>
  </si>
  <si>
    <t xml:space="preserve">IMD station data; NDMA Heat Action Plans</t>
  </si>
  <si>
    <t xml:space="preserve">HEAT HAZARD SUB-TOTAL</t>
  </si>
  <si>
    <t xml:space="preserve">C. WATER STRESS HAZARD SCORING</t>
  </si>
  <si>
    <t xml:space="preserve">Surface water availability</t>
  </si>
  <si>
    <t xml:space="preserve">Vishwamitri + Mahi basin per-capita flow</t>
  </si>
  <si>
    <t xml:space="preserve">CWC basin water balance 2022</t>
  </si>
  <si>
    <t xml:space="preserve">Groundwater depletion rate</t>
  </si>
  <si>
    <t xml:space="preserve">Annual GW table decline (m/yr)</t>
  </si>
  <si>
    <t xml:space="preserve">CGWB Gujarat 2023 assessment</t>
  </si>
  <si>
    <t xml:space="preserve">Water demand-supply gap</t>
  </si>
  <si>
    <t xml:space="preserve">NRW + demand exceeding supply</t>
  </si>
  <si>
    <t xml:space="preserve">VMC Water Supply Master Plan 2021</t>
  </si>
  <si>
    <t xml:space="preserve">Drought frequency</t>
  </si>
  <si>
    <t xml:space="preserve">SPI-3 drought events per decade</t>
  </si>
  <si>
    <t xml:space="preserve">IMD SPI data 1980–2023</t>
  </si>
  <si>
    <t xml:space="preserve">Water quality degradation</t>
  </si>
  <si>
    <t xml:space="preserve">WQI deterioration from climate</t>
  </si>
  <si>
    <t xml:space="preserve">CPCB Gujarat monitoring reports 2022</t>
  </si>
  <si>
    <t xml:space="preserve">Water infrastructure resilience</t>
  </si>
  <si>
    <t xml:space="preserve">% assets with climate-proof design</t>
  </si>
  <si>
    <t xml:space="preserve">VMC asset register audit 2023</t>
  </si>
  <si>
    <t xml:space="preserve">WATER STRESS SUB-TOTAL</t>
  </si>
  <si>
    <t xml:space="preserve">D. COMPOSITE HAZARD INDEX (Weighted Aggregate)</t>
  </si>
  <si>
    <t xml:space="preserve">Hazard Component</t>
  </si>
  <si>
    <t xml:space="preserve">2023 Score</t>
  </si>
  <si>
    <t xml:space="preserve">2030 (SSP2-4.5)</t>
  </si>
  <si>
    <t xml:space="preserve">2030 (SSP5-8.5)</t>
  </si>
  <si>
    <t xml:space="preserve">2050 (SSP2-4.5)</t>
  </si>
  <si>
    <t xml:space="preserve">2050 (SSP5-8.5)</t>
  </si>
  <si>
    <t xml:space="preserve">Flood Hazard</t>
  </si>
  <si>
    <t xml:space="preserve">Heat Hazard</t>
  </si>
  <si>
    <t xml:space="preserve">Water Stress</t>
  </si>
  <si>
    <t xml:space="preserve">COMPOSITE HAZARD INDEX</t>
  </si>
  <si>
    <t xml:space="preserve">EXPOSURE &amp; VULNERABILITY SCORING — VADODARA MUNICIPAL CORPORATION</t>
  </si>
  <si>
    <t xml:space="preserve">Based on VMC ward-level data, Census 2011 (extrapolated to 2023), and smart city digital twin datasets. Scores 1–5.</t>
  </si>
  <si>
    <t xml:space="preserve">A. INFRASTRUCTURE EXPOSURE ASSESSMENT</t>
  </si>
  <si>
    <t xml:space="preserve">Asset Class</t>
  </si>
  <si>
    <t xml:space="preserve">Nos./Units</t>
  </si>
  <si>
    <t xml:space="preserve">Replacement
Value (₹ Cr)</t>
  </si>
  <si>
    <t xml:space="preserve">% in Flood
Zone</t>
  </si>
  <si>
    <t xml:space="preserve">% in Heat
Stress Zone</t>
  </si>
  <si>
    <t xml:space="preserve">% in Water
Stress Zone</t>
  </si>
  <si>
    <t xml:space="preserve">Composite
Exposure Score</t>
  </si>
  <si>
    <t xml:space="preserve">Adaptive
Capacity (1-5)</t>
  </si>
  <si>
    <t xml:space="preserve">Net
Vulnerability</t>
  </si>
  <si>
    <t xml:space="preserve">Priority
Class</t>
  </si>
  <si>
    <t xml:space="preserve">Roads &amp; Bridges</t>
  </si>
  <si>
    <t xml:space="preserve">3,200 km / 85 bridges</t>
  </si>
  <si>
    <t xml:space="preserve">Stormwater Drains</t>
  </si>
  <si>
    <t xml:space="preserve">1,850 km network</t>
  </si>
  <si>
    <t xml:space="preserve">Water Supply Network</t>
  </si>
  <si>
    <t xml:space="preserve">2,100 km pipes + 6 plants</t>
  </si>
  <si>
    <t xml:space="preserve">Sewerage &amp; WWT Plants</t>
  </si>
  <si>
    <t xml:space="preserve">1,200 km + 5 STPs</t>
  </si>
  <si>
    <t xml:space="preserve">Health Infrastructure</t>
  </si>
  <si>
    <t xml:space="preserve">180 facilities</t>
  </si>
  <si>
    <t xml:space="preserve">Schools &amp; Education</t>
  </si>
  <si>
    <t xml:space="preserve">840 institutions</t>
  </si>
  <si>
    <t xml:space="preserve">Electricity &amp; Power Grid</t>
  </si>
  <si>
    <t xml:space="preserve">City-wide grid + 3 sub-stations</t>
  </si>
  <si>
    <t xml:space="preserve">Green/Open Spaces</t>
  </si>
  <si>
    <t xml:space="preserve">1,200 ha parks + lakes</t>
  </si>
  <si>
    <t xml:space="preserve">Industrial Zones (GIDC)</t>
  </si>
  <si>
    <t xml:space="preserve">550 ha industrial estates</t>
  </si>
  <si>
    <t xml:space="preserve">Informal Settlements</t>
  </si>
  <si>
    <t xml:space="preserve">72 registered slum areas</t>
  </si>
  <si>
    <t xml:space="preserve">TOTAL / PORTFOLIO AVERAGE</t>
  </si>
  <si>
    <t xml:space="preserve">B. SOCIAL VULNERABILITY INDEX (SVI) — WARD-LEVEL SUMMARY</t>
  </si>
  <si>
    <t xml:space="preserve">Vulnerability Dimension</t>
  </si>
  <si>
    <t xml:space="preserve">Sub-Indicator</t>
  </si>
  <si>
    <t xml:space="preserve">VMC Average
Score (1-5)</t>
  </si>
  <si>
    <t xml:space="preserve">High-Risk
Wards (#)</t>
  </si>
  <si>
    <t xml:space="preserve">% Pop in
High-Risk Wards</t>
  </si>
  <si>
    <t xml:space="preserve">Gender
Dimension</t>
  </si>
  <si>
    <t xml:space="preserve">Child
(&lt;15) %</t>
  </si>
  <si>
    <t xml:space="preserve">Elderly
(&gt;60) %</t>
  </si>
  <si>
    <t xml:space="preserve">PWD
%</t>
  </si>
  <si>
    <t xml:space="preserve">Overall SVI
Score (1-5)</t>
  </si>
  <si>
    <t xml:space="preserve">Poverty &amp; Economic Deprivation</t>
  </si>
  <si>
    <t xml:space="preserve">HH income &lt; poverty line; SECC data</t>
  </si>
  <si>
    <t xml:space="preserve">F&gt;M exposure</t>
  </si>
  <si>
    <t xml:space="preserve">Housing Quality &amp; Type</t>
  </si>
  <si>
    <t xml:space="preserve">Pucca vs kutcha; overcrowding index</t>
  </si>
  <si>
    <t xml:space="preserve">Equal exposure</t>
  </si>
  <si>
    <t xml:space="preserve">Access to Basic Services</t>
  </si>
  <si>
    <t xml:space="preserve">Water, sanitation, electricity access</t>
  </si>
  <si>
    <t xml:space="preserve">F&gt;M impact</t>
  </si>
  <si>
    <t xml:space="preserve">Health &amp; Nutrition Status</t>
  </si>
  <si>
    <t xml:space="preserve">MMR, child stunting, NCD burden</t>
  </si>
  <si>
    <t xml:space="preserve">F&gt;M burden</t>
  </si>
  <si>
    <t xml:space="preserve">Social Capital &amp; Cohesion</t>
  </si>
  <si>
    <t xml:space="preserve">Community org strength; trust index</t>
  </si>
  <si>
    <t xml:space="preserve">Equal</t>
  </si>
  <si>
    <t xml:space="preserve">Institutional Capacity</t>
  </si>
  <si>
    <t xml:space="preserve">Ward-level disaster preparedness</t>
  </si>
  <si>
    <t xml:space="preserve">COMPOSITE SVI (Average)</t>
  </si>
  <si>
    <t xml:space="preserve">CLIMATE RISK MATRIX — 2030 &amp; 2050 SCENARIOS</t>
  </si>
  <si>
    <t xml:space="preserve">Risk Score = Hazard Score × Exposure Score × (1 / Adaptive Capacity). Risk Band: ≥3.5 = Critical (Red), 2.5–3.4 = High (Orange), 1.5–2.4 = Medium (Yellow), &lt;1.5 = Low (Green)</t>
  </si>
  <si>
    <t xml:space="preserve">RISK BAND LEGEND</t>
  </si>
  <si>
    <t xml:space="preserve">CRITICAL (≥3.5)</t>
  </si>
  <si>
    <t xml:space="preserve">Immediate action required — life safety and economic loss concern</t>
  </si>
  <si>
    <t xml:space="preserve">HIGH (2.5–3.4)</t>
  </si>
  <si>
    <t xml:space="preserve">High priority — bond-financed investment priority</t>
  </si>
  <si>
    <t xml:space="preserve">MEDIUM (1.5–2.4)</t>
  </si>
  <si>
    <t xml:space="preserve">Planned adaptation — included in 10-year capital plan</t>
  </si>
  <si>
    <t xml:space="preserve">LOW (&lt;1.5)</t>
  </si>
  <si>
    <t xml:space="preserve">Monitor — no immediate investment required</t>
  </si>
  <si>
    <t xml:space="preserve">2030 RISK MATRIX (SSP2-4.5 / SSP5-8.5 Scenarios)</t>
  </si>
  <si>
    <t xml:space="preserve">Risk Domain</t>
  </si>
  <si>
    <t xml:space="preserve">Hazard
Score</t>
  </si>
  <si>
    <t xml:space="preserve">Exposure
Score</t>
  </si>
  <si>
    <t xml:space="preserve">Adaptive
Capacity</t>
  </si>
  <si>
    <t xml:space="preserve">Inherent
Risk Score</t>
  </si>
  <si>
    <t xml:space="preserve">Residual
Risk Score</t>
  </si>
  <si>
    <t xml:space="preserve">Risk Band</t>
  </si>
  <si>
    <t xml:space="preserve">Economic
Loss (₹Cr/yr)</t>
  </si>
  <si>
    <t xml:space="preserve">Pop. at
Risk (000s)</t>
  </si>
  <si>
    <t xml:space="preserve">2030 Trend
vs 2023</t>
  </si>
  <si>
    <t xml:space="preserve">2050 Risk
Band</t>
  </si>
  <si>
    <t xml:space="preserve">Strategic
Response</t>
  </si>
  <si>
    <t xml:space="preserve">CBI Eligible</t>
  </si>
  <si>
    <t xml:space="preserve">Urban Flooding — Residential</t>
  </si>
  <si>
    <t xml:space="preserve">Increasing ↑</t>
  </si>
  <si>
    <t xml:space="preserve">CRITICAL</t>
  </si>
  <si>
    <t xml:space="preserve">Green &amp; grey infra</t>
  </si>
  <si>
    <t xml:space="preserve">Yes</t>
  </si>
  <si>
    <t xml:space="preserve">Urban Flooding — Industrial</t>
  </si>
  <si>
    <t xml:space="preserve">Industrial drainage</t>
  </si>
  <si>
    <t xml:space="preserve">Extreme Heat — Public Health</t>
  </si>
  <si>
    <t xml:space="preserve">Rapid increase ↑↑</t>
  </si>
  <si>
    <t xml:space="preserve">Cool corridors, NbS</t>
  </si>
  <si>
    <t xml:space="preserve">Extreme Heat — Labour Productivity</t>
  </si>
  <si>
    <t xml:space="preserve">Shade, cooling infra</t>
  </si>
  <si>
    <t xml:space="preserve">Water Supply Disruption</t>
  </si>
  <si>
    <t xml:space="preserve">Water recycling, SWH</t>
  </si>
  <si>
    <t xml:space="preserve">Infrastructure Damage — Roads</t>
  </si>
  <si>
    <t xml:space="preserve">Stable →</t>
  </si>
  <si>
    <t xml:space="preserve">HIGH</t>
  </si>
  <si>
    <t xml:space="preserve">Climate-proof roads</t>
  </si>
  <si>
    <t xml:space="preserve">Drainage System Failure</t>
  </si>
  <si>
    <t xml:space="preserve">SUDS, retention</t>
  </si>
  <si>
    <t xml:space="preserve">Health Facility Disruption</t>
  </si>
  <si>
    <t xml:space="preserve">Flood-proof hospitals</t>
  </si>
  <si>
    <t xml:space="preserve">Conditional</t>
  </si>
  <si>
    <t xml:space="preserve">Biodiversity &amp; Ecosystem</t>
  </si>
  <si>
    <t xml:space="preserve">Wetland restoration</t>
  </si>
  <si>
    <t xml:space="preserve">Food Security &amp; Urban Agri</t>
  </si>
  <si>
    <t xml:space="preserve">MEDIUM</t>
  </si>
  <si>
    <t xml:space="preserve">Urban food systems</t>
  </si>
  <si>
    <t xml:space="preserve">TOTAL ESTIMATED ANNUAL LOSSES BY 2030</t>
  </si>
  <si>
    <t xml:space="preserve">RESILIENCE PROJECT PRIORITISATION TOOL — VMC CLIMATE BOND PIPELINE</t>
  </si>
  <si>
    <t xml:space="preserve">Prioritisation Score = 0.30×BCR + 0.25×Pop Protected + 0.20×Avoided Loss + 0.15×Co-benefits + 0.10×Implementation Readiness. Blue = input. Black = formula.</t>
  </si>
  <si>
    <t xml:space="preserve">PRIORITISATION WEIGHTS (adjustable)</t>
  </si>
  <si>
    <t xml:space="preserve">W1 — Benefit-Cost Ratio</t>
  </si>
  <si>
    <t xml:space="preserve">SUM CHECK:</t>
  </si>
  <si>
    <t xml:space="preserve">W2 — Population Protected</t>
  </si>
  <si>
    <t xml:space="preserve">W3 — Avoided Annual Loss</t>
  </si>
  <si>
    <t xml:space="preserve">W4 — Co-benefits Score</t>
  </si>
  <si>
    <t xml:space="preserve">W5 — Implementation Readiness</t>
  </si>
  <si>
    <t xml:space="preserve">PROJECT PIPELINE — PRIORITISATION SCORING</t>
  </si>
  <si>
    <t xml:space="preserve">Project Name</t>
  </si>
  <si>
    <t xml:space="preserve">Category</t>
  </si>
  <si>
    <t xml:space="preserve">Cost
(₹ Cr)</t>
  </si>
  <si>
    <t xml:space="preserve">Avoided Annual
Loss (₹ Cr)</t>
  </si>
  <si>
    <t xml:space="preserve">BCR
(Lifetime)</t>
  </si>
  <si>
    <t xml:space="preserve">Pop. Protected
(000s)</t>
  </si>
  <si>
    <t xml:space="preserve">Co-benefits
Score (1-5)</t>
  </si>
  <si>
    <t xml:space="preserve">Impl. Readiness
(1-5)</t>
  </si>
  <si>
    <t xml:space="preserve">Hazard
Addressed</t>
  </si>
  <si>
    <t xml:space="preserve">GHG Co-benefit
(tCO2/yr)</t>
  </si>
  <si>
    <t xml:space="preserve">Bond
Phase</t>
  </si>
  <si>
    <t xml:space="preserve">COMPOSITE
SCORE</t>
  </si>
  <si>
    <t xml:space="preserve">RANK</t>
  </si>
  <si>
    <t xml:space="preserve">Vishwamitri River Flood Barrier &amp; Early Warning System</t>
  </si>
  <si>
    <t xml:space="preserve">Flood Protection</t>
  </si>
  <si>
    <t xml:space="preserve">Flood</t>
  </si>
  <si>
    <t xml:space="preserve">Phase 1</t>
  </si>
  <si>
    <t xml:space="preserve">City-wide Stormwater Master Plan — Retention Ponds</t>
  </si>
  <si>
    <t xml:space="preserve">Green-Grey Infra</t>
  </si>
  <si>
    <t xml:space="preserve">Urban Heat Action — Cool Corridors &amp; Green Canopy</t>
  </si>
  <si>
    <t xml:space="preserve">NbS / Heat</t>
  </si>
  <si>
    <t xml:space="preserve">Heat</t>
  </si>
  <si>
    <t xml:space="preserve">Water Recycling &amp; 24x7 Water Supply Upgrade</t>
  </si>
  <si>
    <t xml:space="preserve">Water Security</t>
  </si>
  <si>
    <t xml:space="preserve">Flood-Resilient Road Network (150 km upgrade)</t>
  </si>
  <si>
    <t xml:space="preserve">Transport</t>
  </si>
  <si>
    <t xml:space="preserve">Wetland Restoration — Ajwa &amp; Sur Sagar Lakes</t>
  </si>
  <si>
    <t xml:space="preserve">NbS</t>
  </si>
  <si>
    <t xml:space="preserve">Flood + Heat</t>
  </si>
  <si>
    <t xml:space="preserve">Climate-Resilient Health Centres (30 facilities)</t>
  </si>
  <si>
    <t xml:space="preserve">Social Infra</t>
  </si>
  <si>
    <t xml:space="preserve">Solar-Powered Pumping Stations (32 stations)</t>
  </si>
  <si>
    <t xml:space="preserve">Energy Resilience</t>
  </si>
  <si>
    <t xml:space="preserve">Phase 2</t>
  </si>
  <si>
    <t xml:space="preserve">Slum Flood Proofing — Top 20 Colonies</t>
  </si>
  <si>
    <t xml:space="preserve">Equity/Social</t>
  </si>
  <si>
    <t xml:space="preserve">Smart Flood Early Warning Network (IoT sensors)</t>
  </si>
  <si>
    <t xml:space="preserve">Digital Resilience</t>
  </si>
  <si>
    <t xml:space="preserve">Groundwater Recharge — 50 Recharge Shafts</t>
  </si>
  <si>
    <t xml:space="preserve">Industrial Zone Drainage (GIDC Vadodara)</t>
  </si>
  <si>
    <t xml:space="preserve">Industrial</t>
  </si>
  <si>
    <t xml:space="preserve">Climate-Resilient Schools (80 schools)</t>
  </si>
  <si>
    <t xml:space="preserve">Urban Forestry — 100,000 Trees Programme</t>
  </si>
  <si>
    <t xml:space="preserve">Phase 3</t>
  </si>
  <si>
    <t xml:space="preserve">Wastewater Treatment &amp; Reuse (100 MLD plant)</t>
  </si>
  <si>
    <t xml:space="preserve">PHASE 1 TOTAL (7 projects)</t>
  </si>
  <si>
    <t xml:space="preserve">CLIMATE RESILIENCE BOND — FINANCIAL MODEL (VMC PHASE 1)</t>
  </si>
  <si>
    <t xml:space="preserve">Aligned with SEBI Municipal Bond Guidelines, Climate Bonds Standard v4.0 and ICMA Green Bond Principles. INR-denominated. All figures in ₹ Crore.</t>
  </si>
  <si>
    <t xml:space="preserve">KEY ASSUMPTIONS</t>
  </si>
  <si>
    <t xml:space="preserve">BOND STRUCTURE</t>
  </si>
  <si>
    <t xml:space="preserve">CREDIT METRICS</t>
  </si>
  <si>
    <t xml:space="preserve">Bond Size (₹ Cr)</t>
  </si>
  <si>
    <t xml:space="preserve">Total Face Value (₹ Cr)</t>
  </si>
  <si>
    <t xml:space="preserve">Revenue Coverage Ratio</t>
  </si>
  <si>
    <t xml:space="preserve">See J6:J9 below</t>
  </si>
  <si>
    <t xml:space="preserve">Tenor (years)</t>
  </si>
  <si>
    <t xml:space="preserve">Annual Interest Payment (₹ Cr)</t>
  </si>
  <si>
    <t xml:space="preserve">VMC Property Tax Rev (₹ Cr)</t>
  </si>
  <si>
    <t xml:space="preserve">Coupon Rate (%)</t>
  </si>
  <si>
    <t xml:space="preserve">Semi-annual Coupon (₹ Cr)</t>
  </si>
  <si>
    <t xml:space="preserve">Octroi/LBT Equivalent (₹ Cr)</t>
  </si>
  <si>
    <t xml:space="preserve">Issue Price (par)</t>
  </si>
  <si>
    <t xml:space="preserve">Total Interest Cost (₹ Cr)</t>
  </si>
  <si>
    <t xml:space="preserve">State Grants (₹ Cr)</t>
  </si>
  <si>
    <t xml:space="preserve">Tax-free (80CCF eligible)</t>
  </si>
  <si>
    <t xml:space="preserve">Total Debt Service (₹ Cr)</t>
  </si>
  <si>
    <t xml:space="preserve">User Charges (₹ Cr)</t>
  </si>
  <si>
    <t xml:space="preserve">Green Premium (bps)</t>
  </si>
  <si>
    <t xml:space="preserve">Effective Cost (after greenium)</t>
  </si>
  <si>
    <t xml:space="preserve">Total Revenue (₹ Cr)</t>
  </si>
  <si>
    <t xml:space="preserve">Benchmark (G-Sec 10yr, %)</t>
  </si>
  <si>
    <t xml:space="preserve">Maturity Date</t>
  </si>
  <si>
    <t xml:space="preserve">2035</t>
  </si>
  <si>
    <t xml:space="preserve">Debt Service (₹ Cr)</t>
  </si>
  <si>
    <t xml:space="preserve">Annual Admin Cost (₹ Cr)</t>
  </si>
  <si>
    <t xml:space="preserve">Sinking Fund Reserve (₹ Cr)</t>
  </si>
  <si>
    <t xml:space="preserve">DSCR (x)</t>
  </si>
  <si>
    <t xml:space="preserve">Sinking Fund Rate (%)</t>
  </si>
  <si>
    <t xml:space="preserve">DSRA Amount (₹ Cr)</t>
  </si>
  <si>
    <t xml:space="preserve">Debt-to-Revenue Ratio</t>
  </si>
  <si>
    <t xml:space="preserve">Debt Service Reserve (months)</t>
  </si>
  <si>
    <t xml:space="preserve">Proceeds for Projects (₹ Cr)</t>
  </si>
  <si>
    <t xml:space="preserve">Credit Rating (assumed)</t>
  </si>
  <si>
    <t xml:space="preserve">A (India Rating)</t>
  </si>
  <si>
    <t xml:space="preserve">BOND AMORTIZATION &amp; CASH FLOW SCHEDULE (₹ Crore)</t>
  </si>
  <si>
    <t xml:space="preserve">Year</t>
  </si>
  <si>
    <t xml:space="preserve">Period</t>
  </si>
  <si>
    <t xml:space="preserve">Opening Balance</t>
  </si>
  <si>
    <t xml:space="preserve">Annual Coupon
(₹ Cr)</t>
  </si>
  <si>
    <t xml:space="preserve">Principal
Repayment</t>
  </si>
  <si>
    <t xml:space="preserve">Total Debt
Service</t>
  </si>
  <si>
    <t xml:space="preserve">Sinking Fund
Contribution</t>
  </si>
  <si>
    <t xml:space="preserve">Project
Drawdown</t>
  </si>
  <si>
    <t xml:space="preserve">Cumulative
Disbursed</t>
  </si>
  <si>
    <t xml:space="preserve">Avoided Loss
Benefit</t>
  </si>
  <si>
    <t xml:space="preserve">Net
Position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</si>
  <si>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</si>
  <si>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</si>
  <si>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</si>
  <si>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</si>
  <si>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</si>
  <si>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</si>
  <si>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</si>
  <si>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</si>
  <si>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</si>
  <si>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</si>
  <si>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TOTAL</t>
  </si>
  <si>
    <t xml:space="preserve">INVESTOR VALUE PROPOSITION</t>
  </si>
  <si>
    <t xml:space="preserve">Yield to Maturity (%)</t>
  </si>
  <si>
    <t xml:space="preserve">Post-tax Yield (30% bracket, ₹)</t>
  </si>
  <si>
    <t xml:space="preserve">Post-tax Yield (20% bracket, ₹)</t>
  </si>
  <si>
    <t xml:space="preserve">Comparable G-Sec Yield (%)</t>
  </si>
  <si>
    <t xml:space="preserve">Rating Equivalent</t>
  </si>
  <si>
    <t xml:space="preserve">"BBB+ to A- (India Scale)"</t>
  </si>
  <si>
    <t xml:space="preserve">Estimated Secondary Market Liquidity</t>
  </si>
  <si>
    <t xml:space="preserve">"Medium-High (SEBI listed)"</t>
  </si>
  <si>
    <t xml:space="preserve">Environmental Additionality (tCO2e saved/₹ Cr)</t>
  </si>
  <si>
    <t xml:space="preserve">45000/500</t>
  </si>
  <si>
    <t xml:space="preserve">SDG Alignment</t>
  </si>
  <si>
    <t xml:space="preserve">"SDG 11, 13, 6, 3, 9"</t>
  </si>
  <si>
    <t xml:space="preserve">Reporting Standard</t>
  </si>
  <si>
    <t xml:space="preserve">"CBI Climate Resilience Bond + GRI 305"</t>
  </si>
  <si>
    <t xml:space="preserve">IMPACT METRICS &amp; REPORTING FRAMEWORK — VMC CLIMATE RESILIENCE BOND</t>
  </si>
  <si>
    <t xml:space="preserve">Aligned with CBI Climate Resilience Criteria, ICMA Harmonized Framework for Impact Reporting, and India's National Action Plan on Climate Change (NAPCC)</t>
  </si>
  <si>
    <t xml:space="preserve">KEY PERFORMANCE INDICATORS — CLIMATE RESILIENCE IMPACT</t>
  </si>
  <si>
    <t xml:space="preserve">KPI Category</t>
  </si>
  <si>
    <t xml:space="preserve">Target
(2027)</t>
  </si>
  <si>
    <t xml:space="preserve">Target
(2030)</t>
  </si>
  <si>
    <t xml:space="preserve">Target
(2035)</t>
  </si>
  <si>
    <t xml:space="preserve">Unit</t>
  </si>
  <si>
    <t xml:space="preserve">Measurement
Method</t>
  </si>
  <si>
    <t xml:space="preserve">Reporting
Frequency</t>
  </si>
  <si>
    <t xml:space="preserve">SDG/CBI
Alignment</t>
  </si>
  <si>
    <t xml:space="preserve">Flood Resilience</t>
  </si>
  <si>
    <t xml:space="preserve">Population protected from 1-in-10yr flood</t>
  </si>
  <si>
    <t xml:space="preserve">Residents</t>
  </si>
  <si>
    <t xml:space="preserve">GIS flood modelling + VMC census data</t>
  </si>
  <si>
    <t xml:space="preserve">Annual</t>
  </si>
  <si>
    <t xml:space="preserve">SDG 11.5 / CBI FR-1</t>
  </si>
  <si>
    <t xml:space="preserve">Area with improved drainage coverage</t>
  </si>
  <si>
    <t xml:space="preserve">% of city area</t>
  </si>
  <si>
    <t xml:space="preserve">VMC infrastructure mapping</t>
  </si>
  <si>
    <t xml:space="preserve">SDG 11.5 / CBI FR-2</t>
  </si>
  <si>
    <t xml:space="preserve">Avoided flood damage (annual)</t>
  </si>
  <si>
    <t xml:space="preserve">₹ Crore/yr</t>
  </si>
  <si>
    <t xml:space="preserve">Post-event damage assessment + modelling</t>
  </si>
  <si>
    <t xml:space="preserve">CBI FR-3</t>
  </si>
  <si>
    <t xml:space="preserve">Stormwater retention capacity added</t>
  </si>
  <si>
    <t xml:space="preserve">Million m³</t>
  </si>
  <si>
    <t xml:space="preserve">VMC engineering records</t>
  </si>
  <si>
    <t xml:space="preserve">CBI FR-4</t>
  </si>
  <si>
    <t xml:space="preserve">Early warning coverage</t>
  </si>
  <si>
    <t xml:space="preserve">% population covered</t>
  </si>
  <si>
    <t xml:space="preserve">NDMA EWS database</t>
  </si>
  <si>
    <t xml:space="preserve">Semi-annual</t>
  </si>
  <si>
    <t xml:space="preserve">SDG 13.1</t>
  </si>
  <si>
    <t xml:space="preserve">Heat Resilience</t>
  </si>
  <si>
    <t xml:space="preserve">Urban Heat Island temperature reduction</t>
  </si>
  <si>
    <t xml:space="preserve">°C vs baseline</t>
  </si>
  <si>
    <t xml:space="preserve">ISRO/IMD land surface temperature</t>
  </si>
  <si>
    <t xml:space="preserve">CBI HR-1</t>
  </si>
  <si>
    <t xml:space="preserve">Green canopy cover increase</t>
  </si>
  <si>
    <t xml:space="preserve">Satellite NDVI analysis</t>
  </si>
  <si>
    <t xml:space="preserve">CBI HR-2</t>
  </si>
  <si>
    <t xml:space="preserve">Heat-related mortality reduction</t>
  </si>
  <si>
    <t xml:space="preserve">% vs 2023 baseline</t>
  </si>
  <si>
    <t xml:space="preserve">VMC health dept records + ICMR</t>
  </si>
  <si>
    <t xml:space="preserve">SDG 3.d</t>
  </si>
  <si>
    <t xml:space="preserve">Cool public spaces created</t>
  </si>
  <si>
    <t xml:space="preserve">Nos. facilities</t>
  </si>
  <si>
    <t xml:space="preserve">VMC smart city inventory</t>
  </si>
  <si>
    <t xml:space="preserve">SDG 11.7</t>
  </si>
  <si>
    <t xml:space="preserve">Water Resilience</t>
  </si>
  <si>
    <t xml:space="preserve">Per-capita water availability improvement</t>
  </si>
  <si>
    <t xml:space="preserve">LPCD</t>
  </si>
  <si>
    <t xml:space="preserve">VMC water supply audit</t>
  </si>
  <si>
    <t xml:space="preserve">SDG 6.1 / CBI WR-1</t>
  </si>
  <si>
    <t xml:space="preserve">Water recycling/reuse volume</t>
  </si>
  <si>
    <t xml:space="preserve">MLD</t>
  </si>
  <si>
    <t xml:space="preserve">VMC plant records</t>
  </si>
  <si>
    <t xml:space="preserve">CBI WR-2</t>
  </si>
  <si>
    <t xml:space="preserve">Non-Revenue Water reduction</t>
  </si>
  <si>
    <t xml:space="preserve">% NRW</t>
  </si>
  <si>
    <t xml:space="preserve">VMC bulk metering data</t>
  </si>
  <si>
    <t xml:space="preserve">SDG 6.4</t>
  </si>
  <si>
    <t xml:space="preserve">Groundwater recharge volume</t>
  </si>
  <si>
    <t xml:space="preserve">MCM/yr</t>
  </si>
  <si>
    <t xml:space="preserve">CGWB monitoring wells</t>
  </si>
  <si>
    <t xml:space="preserve">CBI WR-3</t>
  </si>
  <si>
    <t xml:space="preserve">Social Resilience</t>
  </si>
  <si>
    <t xml:space="preserve">Vulnerable households flood-proofed</t>
  </si>
  <si>
    <t xml:space="preserve">Households</t>
  </si>
  <si>
    <t xml:space="preserve">VMC slum development dept</t>
  </si>
  <si>
    <t xml:space="preserve">SDG 11.1</t>
  </si>
  <si>
    <t xml:space="preserve">Climate-resilient health centers</t>
  </si>
  <si>
    <t xml:space="preserve">Facilities</t>
  </si>
  <si>
    <t xml:space="preserve">VMC health dept</t>
  </si>
  <si>
    <t xml:space="preserve">SDG 3.8</t>
  </si>
  <si>
    <t xml:space="preserve">Gender-responsive WASH access</t>
  </si>
  <si>
    <t xml:space="preserve">% of HH with safe WASH</t>
  </si>
  <si>
    <t xml:space="preserve">NFHS survey extrapolation</t>
  </si>
  <si>
    <t xml:space="preserve">Biennial</t>
  </si>
  <si>
    <t xml:space="preserve">SDG 5 / SDG 6</t>
  </si>
  <si>
    <t xml:space="preserve">Environmental</t>
  </si>
  <si>
    <t xml:space="preserve">GHG emissions reduced/sequestered</t>
  </si>
  <si>
    <t xml:space="preserve">tCO2e/yr</t>
  </si>
  <si>
    <t xml:space="preserve">ISO 14064 methodology</t>
  </si>
  <si>
    <t xml:space="preserve">SDG 13 / Paris Agreement</t>
  </si>
  <si>
    <t xml:space="preserve">Wetland area restored</t>
  </si>
  <si>
    <t xml:space="preserve">Hectares</t>
  </si>
  <si>
    <t xml:space="preserve">Forest dept / ISRO mapping</t>
  </si>
  <si>
    <t xml:space="preserve">CBI NbS-1</t>
  </si>
  <si>
    <t xml:space="preserve">Biodiversity improvement index</t>
  </si>
  <si>
    <t xml:space="preserve">% improvement</t>
  </si>
  <si>
    <t xml:space="preserve">WII/ZSI baseline surveys</t>
  </si>
  <si>
    <t xml:space="preserve">CBD KM-GBF</t>
  </si>
  <si>
    <t xml:space="preserve">Financial Performance</t>
  </si>
  <si>
    <t xml:space="preserve">Bond proceeds deployed on schedule</t>
  </si>
  <si>
    <t xml:space="preserve">% of proceeds</t>
  </si>
  <si>
    <t xml:space="preserve">VMC finance dept</t>
  </si>
  <si>
    <t xml:space="preserve">Quarterly</t>
  </si>
  <si>
    <t xml:space="preserve">CBI Governance</t>
  </si>
  <si>
    <t xml:space="preserve">Cost savings from resilience investments</t>
  </si>
  <si>
    <t xml:space="preserve">VMC O&amp;M records vs. counterfactual</t>
  </si>
  <si>
    <t xml:space="preserve">CBI Impact</t>
  </si>
  <si>
    <t xml:space="preserve">Benefit-Cost Ratio (cumulative)</t>
  </si>
  <si>
    <t xml:space="preserve">x multiple</t>
  </si>
  <si>
    <t xml:space="preserve">CBA methodology</t>
  </si>
  <si>
    <t xml:space="preserve">CBI Standard v4.0</t>
  </si>
  <si>
    <t xml:space="preserve">GOVERNANCE &amp; REPORTING FRAMEWORK</t>
  </si>
  <si>
    <t xml:space="preserve">Body</t>
  </si>
  <si>
    <t xml:space="preserve">Composition/Partner</t>
  </si>
  <si>
    <t xml:space="preserve">Review Cycle</t>
  </si>
  <si>
    <t xml:space="preserve">Output</t>
  </si>
  <si>
    <t xml:space="preserve">Green Bond Committee</t>
  </si>
  <si>
    <t xml:space="preserve">VMC Commissioner + CFO + Climate Officer + Independent Verifier</t>
  </si>
  <si>
    <t xml:space="preserve">Quarterly meetings; oversee proceed allocation</t>
  </si>
  <si>
    <t xml:space="preserve">Annual public report</t>
  </si>
  <si>
    <t xml:space="preserve">External Review</t>
  </si>
  <si>
    <t xml:space="preserve">CBI Approved Verifier (e.g., KPMG/DNV)</t>
  </si>
  <si>
    <t xml:space="preserve">Pre-issuance + post-issuance</t>
  </si>
  <si>
    <t xml:space="preserve">Full certification</t>
  </si>
  <si>
    <t xml:space="preserve">Impact Reporting</t>
  </si>
  <si>
    <t xml:space="preserve">Third-party verification of KPIs</t>
  </si>
  <si>
    <t xml:space="preserve">Annual bond report (ICMA format)</t>
  </si>
  <si>
    <t xml:space="preserve">Published on VMC website</t>
  </si>
  <si>
    <t xml:space="preserve">Grievance Mechanism</t>
  </si>
  <si>
    <t xml:space="preserve">VMC community helpline + ward committees</t>
  </si>
  <si>
    <t xml:space="preserve">Ongoing</t>
  </si>
  <si>
    <t xml:space="preserve">Quarterly summary</t>
  </si>
  <si>
    <t xml:space="preserve">Monitoring System</t>
  </si>
  <si>
    <t xml:space="preserve">IoT sensors + digital twin integration</t>
  </si>
  <si>
    <t xml:space="preserve">Real-time data collection</t>
  </si>
  <si>
    <t xml:space="preserve">Automated dashboard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</si>
</sst>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General"/>
    <numFmt numFmtId="166" formatCode="0.00"/>
    <numFmt numFmtId="167" formatCode="0%"/>
    <numFmt numFmtId="168" formatCode="#,##0"/>
    <numFmt numFmtId="169" formatCode="#,##0.00"/>
    <numFmt numFmtId="170" formatCode="0.00%"/>
    <numFmt numFmtId="171" formatCode="#,##0.00%"/>
    <numFmt numFmtId="172" formatCode="@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2E6DA4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2E6DA4"/>
      <name val="Arial"/>
      <family val="0"/>
      <charset val="1"/>
    </font>
    <font>
      <b val="true"/>
      <sz val="10"/>
      <color rgb="FFE26B0A"/>
      <name val="Arial"/>
      <family val="0"/>
      <charset val="1"/>
    </font>
    <font>
      <b val="true"/>
      <sz val="10"/>
      <color rgb="FF2E8540"/>
      <name val="Arial"/>
      <family val="0"/>
      <charset val="1"/>
    </font>
    <font>
      <b val="true"/>
      <sz val="22"/>
      <color rgb="FF2E6DA4"/>
      <name val="Arial"/>
      <family val="0"/>
      <charset val="1"/>
    </font>
    <font>
      <b val="true"/>
      <sz val="22"/>
      <color rgb="FFE26B0A"/>
      <name val="Arial"/>
      <family val="0"/>
      <charset val="1"/>
    </font>
    <font>
      <b val="true"/>
      <sz val="22"/>
      <color rgb="FF2E8540"/>
      <name val="Arial"/>
      <family val="0"/>
      <charset val="1"/>
    </font>
    <font>
      <i val="true"/>
      <sz val="9"/>
      <color rgb="FF2E6DA4"/>
      <name val="Arial"/>
      <family val="0"/>
      <charset val="1"/>
    </font>
    <font>
      <i val="true"/>
      <sz val="9"/>
      <color rgb="FFE26B0A"/>
      <name val="Arial"/>
      <family val="0"/>
      <charset val="1"/>
    </font>
    <font>
      <i val="true"/>
      <sz val="9"/>
      <color rgb="FF2E8540"/>
      <name val="Arial"/>
      <family val="0"/>
      <charset val="1"/>
    </font>
    <font>
      <b val="true"/>
      <sz val="10"/>
      <color rgb="FF006B6B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006B6B"/>
      <name val="Arial"/>
      <family val="0"/>
      <charset val="1"/>
    </font>
    <font>
      <b val="true"/>
      <sz val="22"/>
      <color rgb="FF595959"/>
      <name val="Arial"/>
      <family val="0"/>
      <charset val="1"/>
    </font>
    <font>
      <i val="true"/>
      <sz val="9"/>
      <color rgb="FF006B6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00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BDD7EE"/>
        <bgColor rgb="FFC0E8E8"/>
      </patternFill>
    </fill>
    <fill>
      <patternFill patternType="solid">
        <fgColor rgb="FF2E6DA4"/>
        <bgColor rgb="FF3366FF"/>
      </patternFill>
    </fill>
    <fill>
      <patternFill patternType="solid">
        <fgColor rgb="FFF2F2F2"/>
        <bgColor rgb="FFF3E8FF"/>
      </patternFill>
    </fill>
    <fill>
      <patternFill patternType="solid">
        <fgColor rgb="FF006B6B"/>
        <bgColor rgb="FF1E5631"/>
      </patternFill>
    </fill>
    <fill>
      <patternFill patternType="solid">
        <fgColor rgb="FFFCE4D6"/>
        <bgColor rgb="FFFFF2CC"/>
      </patternFill>
    </fill>
    <fill>
      <patternFill patternType="solid">
        <fgColor rgb="FFC6EFCE"/>
        <bgColor rgb="FFC0E8E8"/>
      </patternFill>
    </fill>
    <fill>
      <patternFill patternType="solid">
        <fgColor rgb="FFC0E8E8"/>
        <bgColor rgb="FFC6EFCE"/>
      </patternFill>
    </fill>
    <fill>
      <patternFill patternType="solid">
        <fgColor rgb="FFFFFFFF"/>
        <bgColor rgb="FFF2F2F2"/>
      </patternFill>
    </fill>
    <fill>
      <patternFill patternType="solid">
        <fgColor rgb="FFDEEAF1"/>
        <bgColor rgb="FFE2EFDA"/>
      </patternFill>
    </fill>
    <fill>
      <patternFill patternType="solid">
        <fgColor rgb="FFC55A11"/>
        <bgColor rgb="FFE26B0A"/>
      </patternFill>
    </fill>
    <fill>
      <patternFill patternType="solid">
        <fgColor rgb="FFFFF2CC"/>
        <bgColor rgb="FFFCE4D6"/>
      </patternFill>
    </fill>
    <fill>
      <patternFill patternType="solid">
        <fgColor rgb="FF1E5631"/>
        <bgColor rgb="FF1A3A5C"/>
      </patternFill>
    </fill>
    <fill>
      <patternFill patternType="solid">
        <fgColor rgb="FF7030A0"/>
        <bgColor rgb="FF993366"/>
      </patternFill>
    </fill>
    <fill>
      <patternFill patternType="solid">
        <fgColor rgb="FFF3E8FF"/>
        <bgColor rgb="FFF2F2F2"/>
      </patternFill>
    </fill>
    <fill>
      <patternFill patternType="solid">
        <fgColor rgb="FFE8D5FF"/>
        <bgColor rgb="FFF3E8FF"/>
      </patternFill>
    </fill>
    <fill>
      <patternFill patternType="solid">
        <fgColor rgb="FFFF0000"/>
        <bgColor rgb="FF800000"/>
      </patternFill>
    </fill>
    <fill>
      <patternFill patternType="solid">
        <fgColor rgb="FFFF7F00"/>
        <bgColor rgb="FFE26B0A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2E8540"/>
      </patternFill>
    </fill>
    <fill>
      <patternFill patternType="solid">
        <fgColor rgb="FFE2EFDA"/>
        <bgColor rgb="FFDEEA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31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3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33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1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2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1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1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1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1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36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3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3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3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B6B"/>
      <rgbColor rgb="FFCCCCCC"/>
      <rgbColor rgb="FF808080"/>
      <rgbColor rgb="FF9999FF"/>
      <rgbColor rgb="FF7030A0"/>
      <rgbColor rgb="FFFFF2CC"/>
      <rgbColor rgb="FFDEEAF1"/>
      <rgbColor rgb="FF660066"/>
      <rgbColor rgb="FFFF8080"/>
      <rgbColor rgb="FF2E6DA4"/>
      <rgbColor rgb="FFBDD7EE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C0E8E8"/>
      <rgbColor rgb="FFC6EFCE"/>
      <rgbColor rgb="FFE2EFDA"/>
      <rgbColor rgb="FFE8D5FF"/>
      <rgbColor rgb="FFF3E8FF"/>
      <rgbColor rgb="FFF2F2F2"/>
      <rgbColor rgb="FFFCE4D6"/>
      <rgbColor rgb="FF3366FF"/>
      <rgbColor rgb="FF33CCCC"/>
      <rgbColor rgb="FF99CC00"/>
      <rgbColor rgb="FFFFCC00"/>
      <rgbColor rgb="FFFF7F00"/>
      <rgbColor rgb="FFE26B0A"/>
      <rgbColor rgb="FF595959"/>
      <rgbColor rgb="FF969696"/>
      <rgbColor rgb="FF1A3A5C"/>
      <rgbColor rgb="FF2E8540"/>
      <rgbColor rgb="FF003300"/>
      <rgbColor rgb="FF333300"/>
      <rgbColor rgb="FFC55A11"/>
      <rgbColor rgb="FF993366"/>
      <rgbColor rgb="FF333399"/>
      <rgbColor rgb="FF1E563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4" min="2" style="1" width="14"/>
    <col collapsed="false" customWidth="true" hidden="false" outlineLevel="0" max="5" min="5" style="1" width="22"/>
    <col collapsed="false" customWidth="true" hidden="false" outlineLevel="0" max="8" min="6" style="1" width="14"/>
    <col collapsed="false" customWidth="true" hidden="false" outlineLevel="0" max="9" min="9" style="1" width="22"/>
    <col collapsed="false" customWidth="true" hidden="false" outlineLevel="0" max="11" min="10" style="1" width="14"/>
  </cols>
  <sheetData>
    <row r="1" customFormat="false" ht="6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30" hidden="false" customHeight="true" outlineLevel="0" collapsed="false"/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9.5" hidden="false" customHeight="true" outlineLevel="0" collapsed="false"/>
    <row r="6" customFormat="false" ht="21.75" hidden="false" customHeight="true" outlineLevel="0" collapsed="false">
      <c r="A6" s="5" t="s">
        <v>3</v>
      </c>
      <c r="B6" s="6" t="s">
        <v>4</v>
      </c>
      <c r="C6" s="6"/>
      <c r="D6" s="6"/>
      <c r="E6" s="6"/>
      <c r="F6" s="6"/>
      <c r="G6" s="6"/>
      <c r="H6" s="6"/>
      <c r="I6" s="6"/>
      <c r="J6" s="6"/>
      <c r="K6" s="6"/>
    </row>
    <row r="7" customFormat="false" ht="21.75" hidden="false" customHeight="true" outlineLevel="0" collapsed="false">
      <c r="A7" s="5" t="s">
        <v>5</v>
      </c>
      <c r="B7" s="6" t="s">
        <v>6</v>
      </c>
      <c r="C7" s="6"/>
      <c r="D7" s="6"/>
      <c r="E7" s="6"/>
      <c r="F7" s="6"/>
      <c r="G7" s="6"/>
      <c r="H7" s="6"/>
      <c r="I7" s="6"/>
      <c r="J7" s="6"/>
      <c r="K7" s="6"/>
    </row>
    <row r="8" customFormat="false" ht="21.75" hidden="false" customHeight="true" outlineLevel="0" collapsed="false">
      <c r="A8" s="5" t="s">
        <v>7</v>
      </c>
      <c r="B8" s="6" t="s">
        <v>8</v>
      </c>
      <c r="C8" s="6"/>
      <c r="D8" s="6"/>
      <c r="E8" s="6"/>
      <c r="F8" s="6"/>
      <c r="G8" s="6"/>
      <c r="H8" s="6"/>
      <c r="I8" s="6"/>
      <c r="J8" s="6"/>
      <c r="K8" s="6"/>
    </row>
    <row r="9" customFormat="false" ht="21.75" hidden="false" customHeight="true" outlineLevel="0" collapsed="false">
      <c r="A9" s="5" t="s">
        <v>9</v>
      </c>
      <c r="B9" s="6" t="s">
        <v>10</v>
      </c>
      <c r="C9" s="6"/>
      <c r="D9" s="6"/>
      <c r="E9" s="6"/>
      <c r="F9" s="6"/>
      <c r="G9" s="6"/>
      <c r="H9" s="6"/>
      <c r="I9" s="6"/>
      <c r="J9" s="6"/>
      <c r="K9" s="6"/>
    </row>
    <row r="10" customFormat="false" ht="21.75" hidden="false" customHeight="true" outlineLevel="0" collapsed="false">
      <c r="A10" s="5" t="s">
        <v>11</v>
      </c>
      <c r="B10" s="6" t="s">
        <v>12</v>
      </c>
      <c r="C10" s="6"/>
      <c r="D10" s="6"/>
      <c r="E10" s="6"/>
      <c r="F10" s="6"/>
      <c r="G10" s="6"/>
      <c r="H10" s="6"/>
      <c r="I10" s="6"/>
      <c r="J10" s="6"/>
      <c r="K10" s="6"/>
    </row>
    <row r="11" customFormat="false" ht="21.75" hidden="false" customHeight="true" outlineLevel="0" collapsed="false">
      <c r="A11" s="5" t="s">
        <v>13</v>
      </c>
      <c r="B11" s="6" t="s">
        <v>14</v>
      </c>
      <c r="C11" s="6"/>
      <c r="D11" s="6"/>
      <c r="E11" s="6"/>
      <c r="F11" s="6"/>
      <c r="G11" s="6"/>
      <c r="H11" s="6"/>
      <c r="I11" s="6"/>
      <c r="J11" s="6"/>
      <c r="K11" s="6"/>
    </row>
    <row r="12" customFormat="false" ht="21.75" hidden="false" customHeight="true" outlineLevel="0" collapsed="false">
      <c r="A12" s="5" t="s">
        <v>15</v>
      </c>
      <c r="B12" s="6" t="s">
        <v>16</v>
      </c>
      <c r="C12" s="6"/>
      <c r="D12" s="6"/>
      <c r="E12" s="6"/>
      <c r="F12" s="6"/>
      <c r="G12" s="6"/>
      <c r="H12" s="6"/>
      <c r="I12" s="6"/>
      <c r="J12" s="6"/>
      <c r="K12" s="6"/>
    </row>
    <row r="14" customFormat="false" ht="15" hidden="false" customHeight="true" outlineLevel="0" collapsed="false">
      <c r="A14" s="7" t="s">
        <v>17</v>
      </c>
      <c r="B14" s="7"/>
      <c r="C14" s="7"/>
      <c r="D14" s="7"/>
      <c r="E14" s="7"/>
      <c r="F14" s="7"/>
      <c r="G14" s="7"/>
      <c r="H14" s="7"/>
      <c r="I14" s="7"/>
      <c r="J14" s="7"/>
      <c r="K14" s="7"/>
    </row>
    <row r="15" customFormat="false" ht="13.5" hidden="false" customHeight="true" outlineLevel="0" collapsed="false"/>
    <row r="16" customFormat="false" ht="18" hidden="false" customHeight="true" outlineLevel="0" collapsed="false">
      <c r="A16" s="8" t="s">
        <v>18</v>
      </c>
      <c r="B16" s="8"/>
      <c r="C16" s="8"/>
      <c r="D16" s="8"/>
      <c r="E16" s="9" t="s">
        <v>19</v>
      </c>
      <c r="F16" s="9"/>
      <c r="G16" s="9"/>
      <c r="H16" s="9"/>
      <c r="I16" s="10" t="s">
        <v>20</v>
      </c>
      <c r="J16" s="10"/>
      <c r="K16" s="10"/>
      <c r="L16" s="10"/>
    </row>
    <row r="17" customFormat="false" ht="30" hidden="false" customHeight="true" outlineLevel="0" collapsed="false">
      <c r="A17" s="11" t="s">
        <v>21</v>
      </c>
      <c r="B17" s="11"/>
      <c r="C17" s="11"/>
      <c r="D17" s="11"/>
      <c r="E17" s="12" t="s">
        <v>22</v>
      </c>
      <c r="F17" s="12"/>
      <c r="G17" s="12"/>
      <c r="H17" s="12"/>
      <c r="I17" s="13" t="s">
        <v>23</v>
      </c>
      <c r="J17" s="13"/>
      <c r="K17" s="13"/>
      <c r="L17" s="13"/>
    </row>
    <row r="18" customFormat="false" ht="18" hidden="false" customHeight="true" outlineLevel="0" collapsed="false">
      <c r="A18" s="14" t="s">
        <v>24</v>
      </c>
      <c r="B18" s="14"/>
      <c r="C18" s="14"/>
      <c r="D18" s="14"/>
      <c r="E18" s="15" t="s">
        <v>25</v>
      </c>
      <c r="F18" s="15"/>
      <c r="G18" s="15"/>
      <c r="H18" s="15"/>
      <c r="I18" s="16" t="s">
        <v>26</v>
      </c>
      <c r="J18" s="16"/>
      <c r="K18" s="16"/>
      <c r="L18" s="16"/>
    </row>
    <row r="20" customFormat="false" ht="18" hidden="false" customHeight="true" outlineLevel="0" collapsed="false">
      <c r="A20" s="17" t="s">
        <v>27</v>
      </c>
      <c r="B20" s="17"/>
      <c r="C20" s="17"/>
      <c r="D20" s="17"/>
      <c r="E20" s="18" t="s">
        <v>28</v>
      </c>
      <c r="F20" s="18"/>
      <c r="G20" s="18"/>
      <c r="H20" s="18"/>
      <c r="I20" s="8" t="s">
        <v>29</v>
      </c>
      <c r="J20" s="8"/>
      <c r="K20" s="8"/>
      <c r="L20" s="8"/>
    </row>
    <row r="21" customFormat="false" ht="30" hidden="false" customHeight="true" outlineLevel="0" collapsed="false">
      <c r="A21" s="19" t="s">
        <v>30</v>
      </c>
      <c r="B21" s="19"/>
      <c r="C21" s="19"/>
      <c r="D21" s="19"/>
      <c r="E21" s="20" t="s">
        <v>31</v>
      </c>
      <c r="F21" s="20"/>
      <c r="G21" s="20"/>
      <c r="H21" s="20"/>
      <c r="I21" s="11" t="s">
        <v>32</v>
      </c>
      <c r="J21" s="11"/>
      <c r="K21" s="11"/>
      <c r="L21" s="11"/>
    </row>
    <row r="22" customFormat="false" ht="18" hidden="false" customHeight="true" outlineLevel="0" collapsed="false">
      <c r="A22" s="21" t="s">
        <v>33</v>
      </c>
      <c r="B22" s="21"/>
      <c r="C22" s="21"/>
      <c r="D22" s="21"/>
      <c r="E22" s="22" t="s">
        <v>34</v>
      </c>
      <c r="F22" s="22"/>
      <c r="G22" s="22"/>
      <c r="H22" s="22"/>
      <c r="I22" s="14" t="s">
        <v>35</v>
      </c>
      <c r="J22" s="14"/>
      <c r="K22" s="14"/>
      <c r="L22" s="14"/>
    </row>
    <row r="28" customFormat="false" ht="15" hidden="false" customHeight="true" outlineLevel="0" collapsed="false">
      <c r="A28" s="23" t="s">
        <v>36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</row>
  </sheetData>
  <mergeCells count="30">
    <mergeCell ref="A1:K1"/>
    <mergeCell ref="A2:K2"/>
    <mergeCell ref="A4:K4"/>
    <mergeCell ref="B6:K6"/>
    <mergeCell ref="B7:K7"/>
    <mergeCell ref="B8:K8"/>
    <mergeCell ref="B9:K9"/>
    <mergeCell ref="B10:K10"/>
    <mergeCell ref="B11:K11"/>
    <mergeCell ref="B12:K12"/>
    <mergeCell ref="A14:K14"/>
    <mergeCell ref="A16:D16"/>
    <mergeCell ref="E16:H16"/>
    <mergeCell ref="I16:L16"/>
    <mergeCell ref="A17:D17"/>
    <mergeCell ref="E17:H17"/>
    <mergeCell ref="I17:L17"/>
    <mergeCell ref="A18:D18"/>
    <mergeCell ref="E18:H18"/>
    <mergeCell ref="I18:L18"/>
    <mergeCell ref="A20:D20"/>
    <mergeCell ref="E20:H20"/>
    <mergeCell ref="I20:L20"/>
    <mergeCell ref="A21:D21"/>
    <mergeCell ref="E21:H21"/>
    <mergeCell ref="I21:L21"/>
    <mergeCell ref="A22:D22"/>
    <mergeCell ref="E22:H22"/>
    <mergeCell ref="I22:L22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2"/>
    <col collapsed="false" customWidth="true" hidden="false" outlineLevel="0" max="3" min="3" style="1" width="12"/>
    <col collapsed="false" customWidth="true" hidden="false" outlineLevel="0" max="7" min="4" style="1" width="13"/>
    <col collapsed="false" customWidth="true" hidden="false" outlineLevel="0" max="8" min="8" style="1" width="9"/>
    <col collapsed="false" customWidth="true" hidden="false" outlineLevel="0" max="11" min="9" style="1" width="12"/>
    <col collapsed="false" customWidth="true" hidden="false" outlineLevel="0" max="12" min="12" style="1" width="35"/>
  </cols>
  <sheetData>
    <row r="1" customFormat="false" ht="34.5" hidden="false" customHeight="true" outlineLevel="0" collapsed="false">
      <c r="A1" s="24" t="s">
        <v>37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customFormat="false" ht="15.75" hidden="false" customHeight="true" outlineLevel="0" collapsed="false">
      <c r="A2" s="23" t="s">
        <v>38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customFormat="false" ht="21.75" hidden="false" customHeight="true" outlineLevel="0" collapsed="false">
      <c r="A4" s="25" t="s">
        <v>39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customFormat="false" ht="39.75" hidden="false" customHeight="true" outlineLevel="0" collapsed="false">
      <c r="A5" s="26" t="s">
        <v>40</v>
      </c>
      <c r="B5" s="26" t="s">
        <v>41</v>
      </c>
      <c r="C5" s="26" t="s">
        <v>42</v>
      </c>
      <c r="D5" s="26" t="s">
        <v>43</v>
      </c>
      <c r="E5" s="26" t="s">
        <v>44</v>
      </c>
      <c r="F5" s="26" t="s">
        <v>45</v>
      </c>
      <c r="G5" s="26" t="s">
        <v>46</v>
      </c>
      <c r="H5" s="26" t="s">
        <v>47</v>
      </c>
      <c r="I5" s="26" t="s">
        <v>48</v>
      </c>
      <c r="J5" s="26" t="s">
        <v>49</v>
      </c>
      <c r="K5" s="26" t="s">
        <v>50</v>
      </c>
      <c r="L5" s="26" t="s">
        <v>51</v>
      </c>
    </row>
    <row r="6" customFormat="false" ht="25.5" hidden="false" customHeight="true" outlineLevel="0" collapsed="false">
      <c r="A6" s="27" t="s">
        <v>52</v>
      </c>
      <c r="B6" s="27" t="s">
        <v>53</v>
      </c>
      <c r="C6" s="28" t="n">
        <v>4</v>
      </c>
      <c r="D6" s="28" t="n">
        <v>4.2</v>
      </c>
      <c r="E6" s="28" t="n">
        <v>4.5</v>
      </c>
      <c r="F6" s="28" t="n">
        <v>4.5</v>
      </c>
      <c r="G6" s="28" t="n">
        <v>5</v>
      </c>
      <c r="H6" s="28" t="n">
        <v>0.25</v>
      </c>
      <c r="I6" s="29" t="n">
        <f aca="false">C6*H6</f>
        <v>1</v>
      </c>
      <c r="J6" s="29" t="n">
        <f aca="false">D6*H6</f>
        <v>1.05</v>
      </c>
      <c r="K6" s="29" t="n">
        <f aca="false">F6*H6</f>
        <v>1.125</v>
      </c>
      <c r="L6" s="27" t="s">
        <v>54</v>
      </c>
    </row>
    <row r="7" customFormat="false" ht="25.5" hidden="false" customHeight="true" outlineLevel="0" collapsed="false">
      <c r="A7" s="27" t="s">
        <v>55</v>
      </c>
      <c r="B7" s="27" t="s">
        <v>56</v>
      </c>
      <c r="C7" s="28" t="n">
        <v>3.5</v>
      </c>
      <c r="D7" s="28" t="n">
        <v>3.8</v>
      </c>
      <c r="E7" s="28" t="n">
        <v>4.2</v>
      </c>
      <c r="F7" s="28" t="n">
        <v>4.2</v>
      </c>
      <c r="G7" s="28" t="n">
        <v>4.8</v>
      </c>
      <c r="H7" s="28" t="n">
        <v>0.2</v>
      </c>
      <c r="I7" s="29" t="n">
        <f aca="false">C7*H7</f>
        <v>0.7</v>
      </c>
      <c r="J7" s="29" t="n">
        <f aca="false">D7*H7</f>
        <v>0.76</v>
      </c>
      <c r="K7" s="29" t="n">
        <f aca="false">F7*H7</f>
        <v>0.84</v>
      </c>
      <c r="L7" s="27" t="s">
        <v>57</v>
      </c>
    </row>
    <row r="8" customFormat="false" ht="25.5" hidden="false" customHeight="true" outlineLevel="0" collapsed="false">
      <c r="A8" s="27" t="s">
        <v>58</v>
      </c>
      <c r="B8" s="27" t="s">
        <v>59</v>
      </c>
      <c r="C8" s="28" t="n">
        <v>4</v>
      </c>
      <c r="D8" s="28" t="n">
        <v>4</v>
      </c>
      <c r="E8" s="28" t="n">
        <v>4.3</v>
      </c>
      <c r="F8" s="28" t="n">
        <v>4.3</v>
      </c>
      <c r="G8" s="28" t="n">
        <v>4.8</v>
      </c>
      <c r="H8" s="28" t="n">
        <v>0.2</v>
      </c>
      <c r="I8" s="29" t="n">
        <f aca="false">C8*H8</f>
        <v>0.8</v>
      </c>
      <c r="J8" s="29" t="n">
        <f aca="false">D8*H8</f>
        <v>0.8</v>
      </c>
      <c r="K8" s="29" t="n">
        <f aca="false">F8*H8</f>
        <v>0.86</v>
      </c>
      <c r="L8" s="27" t="s">
        <v>60</v>
      </c>
    </row>
    <row r="9" customFormat="false" ht="25.5" hidden="false" customHeight="true" outlineLevel="0" collapsed="false">
      <c r="A9" s="27" t="s">
        <v>61</v>
      </c>
      <c r="B9" s="27" t="s">
        <v>62</v>
      </c>
      <c r="C9" s="28" t="n">
        <v>3.8</v>
      </c>
      <c r="D9" s="28" t="n">
        <v>3.8</v>
      </c>
      <c r="E9" s="28" t="n">
        <v>3.8</v>
      </c>
      <c r="F9" s="28" t="n">
        <v>3.5</v>
      </c>
      <c r="G9" s="28" t="n">
        <v>3.5</v>
      </c>
      <c r="H9" s="28" t="n">
        <v>0.15</v>
      </c>
      <c r="I9" s="29" t="n">
        <f aca="false">C9*H9</f>
        <v>0.57</v>
      </c>
      <c r="J9" s="29" t="n">
        <f aca="false">D9*H9</f>
        <v>0.57</v>
      </c>
      <c r="K9" s="29" t="n">
        <f aca="false">F9*H9</f>
        <v>0.525</v>
      </c>
      <c r="L9" s="27" t="s">
        <v>63</v>
      </c>
    </row>
    <row r="10" customFormat="false" ht="25.5" hidden="false" customHeight="true" outlineLevel="0" collapsed="false">
      <c r="A10" s="27" t="s">
        <v>64</v>
      </c>
      <c r="B10" s="27" t="s">
        <v>65</v>
      </c>
      <c r="C10" s="28" t="n">
        <v>3</v>
      </c>
      <c r="D10" s="28" t="n">
        <v>3.3</v>
      </c>
      <c r="E10" s="28" t="n">
        <v>3.5</v>
      </c>
      <c r="F10" s="28" t="n">
        <v>4</v>
      </c>
      <c r="G10" s="28" t="n">
        <v>4.5</v>
      </c>
      <c r="H10" s="28" t="n">
        <v>0.1</v>
      </c>
      <c r="I10" s="29" t="n">
        <f aca="false">C10*H10</f>
        <v>0.3</v>
      </c>
      <c r="J10" s="29" t="n">
        <f aca="false">D10*H10</f>
        <v>0.33</v>
      </c>
      <c r="K10" s="29" t="n">
        <f aca="false">F10*H10</f>
        <v>0.4</v>
      </c>
      <c r="L10" s="27" t="s">
        <v>66</v>
      </c>
    </row>
    <row r="11" customFormat="false" ht="25.5" hidden="false" customHeight="true" outlineLevel="0" collapsed="false">
      <c r="A11" s="27" t="s">
        <v>67</v>
      </c>
      <c r="B11" s="27" t="s">
        <v>68</v>
      </c>
      <c r="C11" s="28" t="n">
        <v>2.5</v>
      </c>
      <c r="D11" s="28" t="n">
        <v>2.8</v>
      </c>
      <c r="E11" s="28" t="n">
        <v>3</v>
      </c>
      <c r="F11" s="28" t="n">
        <v>3.2</v>
      </c>
      <c r="G11" s="28" t="n">
        <v>3.8</v>
      </c>
      <c r="H11" s="28" t="n">
        <v>0.1</v>
      </c>
      <c r="I11" s="29" t="n">
        <f aca="false">C11*H11</f>
        <v>0.25</v>
      </c>
      <c r="J11" s="29" t="n">
        <f aca="false">D11*H11</f>
        <v>0.28</v>
      </c>
      <c r="K11" s="29" t="n">
        <f aca="false">F11*H11</f>
        <v>0.32</v>
      </c>
      <c r="L11" s="27" t="s">
        <v>69</v>
      </c>
    </row>
    <row r="12" customFormat="false" ht="24" hidden="false" customHeight="true" outlineLevel="0" collapsed="false">
      <c r="A12" s="30" t="s">
        <v>70</v>
      </c>
      <c r="B12" s="30"/>
      <c r="C12" s="31"/>
      <c r="D12" s="31"/>
      <c r="E12" s="31"/>
      <c r="F12" s="31"/>
      <c r="G12" s="31"/>
      <c r="H12" s="31"/>
      <c r="I12" s="32" t="n">
        <f aca="false">SUM(I6:I11)</f>
        <v>3.62</v>
      </c>
      <c r="J12" s="32" t="n">
        <f aca="false">SUM(J6:J11)</f>
        <v>3.79</v>
      </c>
      <c r="K12" s="32" t="n">
        <f aca="false">SUM(K6:K11)</f>
        <v>4.07</v>
      </c>
      <c r="L12" s="31"/>
    </row>
    <row r="13" customFormat="false" ht="15" hidden="false" customHeight="true" outlineLevel="0" collapsed="false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</row>
    <row r="14" customFormat="false" ht="21.75" hidden="false" customHeight="true" outlineLevel="0" collapsed="false">
      <c r="A14" s="33" t="s">
        <v>71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</row>
    <row r="15" customFormat="false" ht="39.75" hidden="false" customHeight="true" outlineLevel="0" collapsed="false">
      <c r="A15" s="34" t="s">
        <v>40</v>
      </c>
      <c r="B15" s="34" t="s">
        <v>41</v>
      </c>
      <c r="C15" s="34" t="s">
        <v>42</v>
      </c>
      <c r="D15" s="34" t="s">
        <v>43</v>
      </c>
      <c r="E15" s="34" t="s">
        <v>44</v>
      </c>
      <c r="F15" s="34" t="s">
        <v>45</v>
      </c>
      <c r="G15" s="34" t="s">
        <v>46</v>
      </c>
      <c r="H15" s="34" t="s">
        <v>47</v>
      </c>
      <c r="I15" s="34" t="s">
        <v>48</v>
      </c>
      <c r="J15" s="34" t="s">
        <v>49</v>
      </c>
      <c r="K15" s="34" t="s">
        <v>50</v>
      </c>
      <c r="L15" s="34" t="s">
        <v>51</v>
      </c>
    </row>
    <row r="16" customFormat="false" ht="25.5" hidden="false" customHeight="true" outlineLevel="0" collapsed="false">
      <c r="A16" s="27" t="s">
        <v>72</v>
      </c>
      <c r="B16" s="27" t="s">
        <v>73</v>
      </c>
      <c r="C16" s="35" t="n">
        <v>1.2</v>
      </c>
      <c r="D16" s="35" t="n">
        <v>1.5</v>
      </c>
      <c r="E16" s="35" t="n">
        <v>1.8</v>
      </c>
      <c r="F16" s="35" t="n">
        <v>2.4</v>
      </c>
      <c r="G16" s="35" t="n">
        <v>3.2</v>
      </c>
      <c r="H16" s="35" t="n">
        <v>0.25</v>
      </c>
      <c r="I16" s="29" t="n">
        <f aca="false">C16*H16</f>
        <v>0.3</v>
      </c>
      <c r="J16" s="29" t="n">
        <f aca="false">D16*H16</f>
        <v>0.375</v>
      </c>
      <c r="K16" s="29" t="n">
        <f aca="false">F16*H16</f>
        <v>0.6</v>
      </c>
      <c r="L16" s="27" t="s">
        <v>74</v>
      </c>
    </row>
    <row r="17" customFormat="false" ht="25.5" hidden="false" customHeight="true" outlineLevel="0" collapsed="false">
      <c r="A17" s="27" t="s">
        <v>75</v>
      </c>
      <c r="B17" s="27" t="s">
        <v>76</v>
      </c>
      <c r="C17" s="35" t="n">
        <v>3.5</v>
      </c>
      <c r="D17" s="35" t="n">
        <v>3.8</v>
      </c>
      <c r="E17" s="35" t="n">
        <v>4.2</v>
      </c>
      <c r="F17" s="35" t="n">
        <v>4.5</v>
      </c>
      <c r="G17" s="35" t="n">
        <v>5</v>
      </c>
      <c r="H17" s="35" t="n">
        <v>0.2</v>
      </c>
      <c r="I17" s="29" t="n">
        <f aca="false">C17*H17</f>
        <v>0.7</v>
      </c>
      <c r="J17" s="29" t="n">
        <f aca="false">D17*H17</f>
        <v>0.76</v>
      </c>
      <c r="K17" s="29" t="n">
        <f aca="false">F17*H17</f>
        <v>0.9</v>
      </c>
      <c r="L17" s="27" t="s">
        <v>77</v>
      </c>
    </row>
    <row r="18" customFormat="false" ht="25.5" hidden="false" customHeight="true" outlineLevel="0" collapsed="false">
      <c r="A18" s="27" t="s">
        <v>78</v>
      </c>
      <c r="B18" s="27" t="s">
        <v>79</v>
      </c>
      <c r="C18" s="35" t="n">
        <v>2.8</v>
      </c>
      <c r="D18" s="35" t="n">
        <v>3</v>
      </c>
      <c r="E18" s="35" t="n">
        <v>3.2</v>
      </c>
      <c r="F18" s="35" t="n">
        <v>3.5</v>
      </c>
      <c r="G18" s="35" t="n">
        <v>4</v>
      </c>
      <c r="H18" s="35" t="n">
        <v>0.2</v>
      </c>
      <c r="I18" s="29" t="n">
        <f aca="false">C18*H18</f>
        <v>0.56</v>
      </c>
      <c r="J18" s="29" t="n">
        <f aca="false">D18*H18</f>
        <v>0.6</v>
      </c>
      <c r="K18" s="29" t="n">
        <f aca="false">F18*H18</f>
        <v>0.7</v>
      </c>
      <c r="L18" s="27" t="s">
        <v>80</v>
      </c>
    </row>
    <row r="19" customFormat="false" ht="25.5" hidden="false" customHeight="true" outlineLevel="0" collapsed="false">
      <c r="A19" s="27" t="s">
        <v>81</v>
      </c>
      <c r="B19" s="27" t="s">
        <v>82</v>
      </c>
      <c r="C19" s="35" t="n">
        <v>3</v>
      </c>
      <c r="D19" s="35" t="n">
        <v>3.3</v>
      </c>
      <c r="E19" s="35" t="n">
        <v>3.8</v>
      </c>
      <c r="F19" s="35" t="n">
        <v>4.2</v>
      </c>
      <c r="G19" s="35" t="n">
        <v>4.8</v>
      </c>
      <c r="H19" s="35" t="n">
        <v>0.15</v>
      </c>
      <c r="I19" s="29" t="n">
        <f aca="false">C19*H19</f>
        <v>0.45</v>
      </c>
      <c r="J19" s="29" t="n">
        <f aca="false">D19*H19</f>
        <v>0.495</v>
      </c>
      <c r="K19" s="29" t="n">
        <f aca="false">F19*H19</f>
        <v>0.63</v>
      </c>
      <c r="L19" s="27" t="s">
        <v>83</v>
      </c>
    </row>
    <row r="20" customFormat="false" ht="25.5" hidden="false" customHeight="true" outlineLevel="0" collapsed="false">
      <c r="A20" s="27" t="s">
        <v>84</v>
      </c>
      <c r="B20" s="27" t="s">
        <v>85</v>
      </c>
      <c r="C20" s="35" t="n">
        <v>2.5</v>
      </c>
      <c r="D20" s="35" t="n">
        <v>2.8</v>
      </c>
      <c r="E20" s="35" t="n">
        <v>3.2</v>
      </c>
      <c r="F20" s="35" t="n">
        <v>3.5</v>
      </c>
      <c r="G20" s="35" t="n">
        <v>4.2</v>
      </c>
      <c r="H20" s="35" t="n">
        <v>0.1</v>
      </c>
      <c r="I20" s="29" t="n">
        <f aca="false">C20*H20</f>
        <v>0.25</v>
      </c>
      <c r="J20" s="29" t="n">
        <f aca="false">D20*H20</f>
        <v>0.28</v>
      </c>
      <c r="K20" s="29" t="n">
        <f aca="false">F20*H20</f>
        <v>0.35</v>
      </c>
      <c r="L20" s="27" t="s">
        <v>86</v>
      </c>
    </row>
    <row r="21" customFormat="false" ht="25.5" hidden="false" customHeight="true" outlineLevel="0" collapsed="false">
      <c r="A21" s="27" t="s">
        <v>87</v>
      </c>
      <c r="B21" s="27" t="s">
        <v>88</v>
      </c>
      <c r="C21" s="35" t="n">
        <v>2.8</v>
      </c>
      <c r="D21" s="35" t="n">
        <v>3</v>
      </c>
      <c r="E21" s="35" t="n">
        <v>3.5</v>
      </c>
      <c r="F21" s="35" t="n">
        <v>3.8</v>
      </c>
      <c r="G21" s="35" t="n">
        <v>4.5</v>
      </c>
      <c r="H21" s="35" t="n">
        <v>0.1</v>
      </c>
      <c r="I21" s="29" t="n">
        <f aca="false">C21*H21</f>
        <v>0.28</v>
      </c>
      <c r="J21" s="29" t="n">
        <f aca="false">D21*H21</f>
        <v>0.3</v>
      </c>
      <c r="K21" s="29" t="n">
        <f aca="false">F21*H21</f>
        <v>0.38</v>
      </c>
      <c r="L21" s="27" t="s">
        <v>89</v>
      </c>
    </row>
    <row r="22" customFormat="false" ht="24" hidden="false" customHeight="true" outlineLevel="0" collapsed="false">
      <c r="A22" s="36" t="s">
        <v>90</v>
      </c>
      <c r="B22" s="36"/>
      <c r="C22" s="31"/>
      <c r="D22" s="31"/>
      <c r="E22" s="31"/>
      <c r="F22" s="31"/>
      <c r="G22" s="31"/>
      <c r="H22" s="31"/>
      <c r="I22" s="37" t="n">
        <f aca="false">SUM(I16:I21)</f>
        <v>2.54</v>
      </c>
      <c r="J22" s="37" t="n">
        <f aca="false">SUM(J16:J21)</f>
        <v>2.81</v>
      </c>
      <c r="K22" s="37" t="n">
        <f aca="false">SUM(K16:K21)</f>
        <v>3.56</v>
      </c>
      <c r="L22" s="31"/>
    </row>
    <row r="23" customFormat="false" ht="15" hidden="false" customHeight="true" outlineLevel="0" collapsed="false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customFormat="false" ht="21.75" hidden="false" customHeight="true" outlineLevel="0" collapsed="false">
      <c r="A24" s="38" t="s">
        <v>91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</row>
    <row r="25" customFormat="false" ht="39.75" hidden="false" customHeight="true" outlineLevel="0" collapsed="false">
      <c r="A25" s="39" t="s">
        <v>40</v>
      </c>
      <c r="B25" s="39" t="s">
        <v>41</v>
      </c>
      <c r="C25" s="39" t="s">
        <v>42</v>
      </c>
      <c r="D25" s="39" t="s">
        <v>43</v>
      </c>
      <c r="E25" s="39" t="s">
        <v>44</v>
      </c>
      <c r="F25" s="39" t="s">
        <v>45</v>
      </c>
      <c r="G25" s="39" t="s">
        <v>46</v>
      </c>
      <c r="H25" s="39" t="s">
        <v>47</v>
      </c>
      <c r="I25" s="39" t="s">
        <v>48</v>
      </c>
      <c r="J25" s="39" t="s">
        <v>49</v>
      </c>
      <c r="K25" s="39" t="s">
        <v>50</v>
      </c>
      <c r="L25" s="39" t="s">
        <v>51</v>
      </c>
    </row>
    <row r="26" customFormat="false" ht="25.5" hidden="false" customHeight="true" outlineLevel="0" collapsed="false">
      <c r="A26" s="27" t="s">
        <v>92</v>
      </c>
      <c r="B26" s="27" t="s">
        <v>93</v>
      </c>
      <c r="C26" s="40" t="n">
        <v>3.5</v>
      </c>
      <c r="D26" s="40" t="n">
        <v>3.8</v>
      </c>
      <c r="E26" s="40" t="n">
        <v>4.2</v>
      </c>
      <c r="F26" s="40" t="n">
        <v>4.5</v>
      </c>
      <c r="G26" s="40" t="n">
        <v>5</v>
      </c>
      <c r="H26" s="40" t="n">
        <v>0.25</v>
      </c>
      <c r="I26" s="29" t="n">
        <f aca="false">C26*H26</f>
        <v>0.875</v>
      </c>
      <c r="J26" s="29" t="n">
        <f aca="false">D26*H26</f>
        <v>0.95</v>
      </c>
      <c r="K26" s="29" t="n">
        <f aca="false">F26*H26</f>
        <v>1.125</v>
      </c>
      <c r="L26" s="27" t="s">
        <v>94</v>
      </c>
    </row>
    <row r="27" customFormat="false" ht="25.5" hidden="false" customHeight="true" outlineLevel="0" collapsed="false">
      <c r="A27" s="27" t="s">
        <v>95</v>
      </c>
      <c r="B27" s="27" t="s">
        <v>96</v>
      </c>
      <c r="C27" s="40" t="n">
        <v>3</v>
      </c>
      <c r="D27" s="40" t="n">
        <v>3.3</v>
      </c>
      <c r="E27" s="40" t="n">
        <v>3.5</v>
      </c>
      <c r="F27" s="40" t="n">
        <v>4</v>
      </c>
      <c r="G27" s="40" t="n">
        <v>4.8</v>
      </c>
      <c r="H27" s="40" t="n">
        <v>0.2</v>
      </c>
      <c r="I27" s="29" t="n">
        <f aca="false">C27*H27</f>
        <v>0.6</v>
      </c>
      <c r="J27" s="29" t="n">
        <f aca="false">D27*H27</f>
        <v>0.66</v>
      </c>
      <c r="K27" s="29" t="n">
        <f aca="false">F27*H27</f>
        <v>0.8</v>
      </c>
      <c r="L27" s="27" t="s">
        <v>97</v>
      </c>
    </row>
    <row r="28" customFormat="false" ht="25.5" hidden="false" customHeight="true" outlineLevel="0" collapsed="false">
      <c r="A28" s="27" t="s">
        <v>98</v>
      </c>
      <c r="B28" s="27" t="s">
        <v>99</v>
      </c>
      <c r="C28" s="40" t="n">
        <v>3.2</v>
      </c>
      <c r="D28" s="40" t="n">
        <v>3.5</v>
      </c>
      <c r="E28" s="40" t="n">
        <v>3.8</v>
      </c>
      <c r="F28" s="40" t="n">
        <v>4.2</v>
      </c>
      <c r="G28" s="40" t="n">
        <v>5</v>
      </c>
      <c r="H28" s="40" t="n">
        <v>0.2</v>
      </c>
      <c r="I28" s="29" t="n">
        <f aca="false">C28*H28</f>
        <v>0.64</v>
      </c>
      <c r="J28" s="29" t="n">
        <f aca="false">D28*H28</f>
        <v>0.7</v>
      </c>
      <c r="K28" s="29" t="n">
        <f aca="false">F28*H28</f>
        <v>0.84</v>
      </c>
      <c r="L28" s="27" t="s">
        <v>100</v>
      </c>
    </row>
    <row r="29" customFormat="false" ht="25.5" hidden="false" customHeight="true" outlineLevel="0" collapsed="false">
      <c r="A29" s="27" t="s">
        <v>101</v>
      </c>
      <c r="B29" s="27" t="s">
        <v>102</v>
      </c>
      <c r="C29" s="40" t="n">
        <v>2.5</v>
      </c>
      <c r="D29" s="40" t="n">
        <v>2.8</v>
      </c>
      <c r="E29" s="40" t="n">
        <v>3.2</v>
      </c>
      <c r="F29" s="40" t="n">
        <v>3.5</v>
      </c>
      <c r="G29" s="40" t="n">
        <v>4.2</v>
      </c>
      <c r="H29" s="40" t="n">
        <v>0.15</v>
      </c>
      <c r="I29" s="29" t="n">
        <f aca="false">C29*H29</f>
        <v>0.375</v>
      </c>
      <c r="J29" s="29" t="n">
        <f aca="false">D29*H29</f>
        <v>0.42</v>
      </c>
      <c r="K29" s="29" t="n">
        <f aca="false">F29*H29</f>
        <v>0.525</v>
      </c>
      <c r="L29" s="27" t="s">
        <v>103</v>
      </c>
    </row>
    <row r="30" customFormat="false" ht="25.5" hidden="false" customHeight="true" outlineLevel="0" collapsed="false">
      <c r="A30" s="27" t="s">
        <v>104</v>
      </c>
      <c r="B30" s="27" t="s">
        <v>105</v>
      </c>
      <c r="C30" s="40" t="n">
        <v>2.8</v>
      </c>
      <c r="D30" s="40" t="n">
        <v>3</v>
      </c>
      <c r="E30" s="40" t="n">
        <v>3.3</v>
      </c>
      <c r="F30" s="40" t="n">
        <v>3.5</v>
      </c>
      <c r="G30" s="40" t="n">
        <v>4</v>
      </c>
      <c r="H30" s="40" t="n">
        <v>0.1</v>
      </c>
      <c r="I30" s="29" t="n">
        <f aca="false">C30*H30</f>
        <v>0.28</v>
      </c>
      <c r="J30" s="29" t="n">
        <f aca="false">D30*H30</f>
        <v>0.3</v>
      </c>
      <c r="K30" s="29" t="n">
        <f aca="false">F30*H30</f>
        <v>0.35</v>
      </c>
      <c r="L30" s="27" t="s">
        <v>106</v>
      </c>
    </row>
    <row r="31" customFormat="false" ht="25.5" hidden="false" customHeight="true" outlineLevel="0" collapsed="false">
      <c r="A31" s="27" t="s">
        <v>107</v>
      </c>
      <c r="B31" s="27" t="s">
        <v>108</v>
      </c>
      <c r="C31" s="40" t="n">
        <v>2</v>
      </c>
      <c r="D31" s="40" t="n">
        <v>2</v>
      </c>
      <c r="E31" s="40" t="n">
        <v>2</v>
      </c>
      <c r="F31" s="40" t="n">
        <v>2.5</v>
      </c>
      <c r="G31" s="40" t="n">
        <v>2.5</v>
      </c>
      <c r="H31" s="40" t="n">
        <v>0.1</v>
      </c>
      <c r="I31" s="29" t="n">
        <f aca="false">C31*H31</f>
        <v>0.2</v>
      </c>
      <c r="J31" s="29" t="n">
        <f aca="false">D31*H31</f>
        <v>0.2</v>
      </c>
      <c r="K31" s="29" t="n">
        <f aca="false">F31*H31</f>
        <v>0.25</v>
      </c>
      <c r="L31" s="27" t="s">
        <v>109</v>
      </c>
    </row>
    <row r="32" customFormat="false" ht="24" hidden="false" customHeight="true" outlineLevel="0" collapsed="false">
      <c r="A32" s="41" t="s">
        <v>110</v>
      </c>
      <c r="B32" s="41"/>
      <c r="C32" s="31"/>
      <c r="D32" s="31"/>
      <c r="E32" s="31"/>
      <c r="F32" s="31"/>
      <c r="G32" s="31"/>
      <c r="H32" s="31"/>
      <c r="I32" s="42" t="n">
        <f aca="false">SUM(I26:I31)</f>
        <v>2.97</v>
      </c>
      <c r="J32" s="42" t="n">
        <f aca="false">SUM(J26:J31)</f>
        <v>3.23</v>
      </c>
      <c r="K32" s="42" t="n">
        <f aca="false">SUM(K26:K31)</f>
        <v>3.89</v>
      </c>
      <c r="L32" s="31"/>
    </row>
    <row r="33" customFormat="false" ht="15" hidden="false" customHeight="true" outlineLevel="0" collapsed="false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customFormat="false" ht="24" hidden="false" customHeight="true" outlineLevel="0" collapsed="false">
      <c r="A34" s="43" t="s">
        <v>111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</row>
    <row r="35" customFormat="false" ht="21.75" hidden="false" customHeight="true" outlineLevel="0" collapsed="false">
      <c r="A35" s="44" t="s">
        <v>112</v>
      </c>
      <c r="B35" s="44" t="s">
        <v>47</v>
      </c>
      <c r="C35" s="44" t="s">
        <v>113</v>
      </c>
      <c r="D35" s="44" t="s">
        <v>114</v>
      </c>
      <c r="E35" s="44" t="s">
        <v>115</v>
      </c>
      <c r="F35" s="44" t="s">
        <v>116</v>
      </c>
      <c r="G35" s="44" t="s">
        <v>117</v>
      </c>
      <c r="H35" s="31"/>
      <c r="I35" s="31"/>
      <c r="J35" s="31"/>
      <c r="K35" s="31"/>
      <c r="L35" s="31"/>
    </row>
    <row r="36" customFormat="false" ht="24" hidden="false" customHeight="true" outlineLevel="0" collapsed="false">
      <c r="A36" s="45" t="s">
        <v>118</v>
      </c>
      <c r="B36" s="46" t="n">
        <v>0.45</v>
      </c>
      <c r="C36" s="47" t="n">
        <f aca="false">I12</f>
        <v>3.62</v>
      </c>
      <c r="D36" s="47" t="n">
        <f aca="false">J12</f>
        <v>3.79</v>
      </c>
      <c r="E36" s="47" t="n">
        <f aca="false">(I12+J12)/2*1.05</f>
        <v>3.89025</v>
      </c>
      <c r="F36" s="47" t="n">
        <f aca="false">K12</f>
        <v>4.07</v>
      </c>
      <c r="G36" s="47" t="n">
        <f aca="false">(K12)*1.1</f>
        <v>4.477</v>
      </c>
      <c r="H36" s="31"/>
      <c r="I36" s="31"/>
      <c r="J36" s="31"/>
      <c r="K36" s="31"/>
      <c r="L36" s="31"/>
    </row>
    <row r="37" customFormat="false" ht="24" hidden="false" customHeight="true" outlineLevel="0" collapsed="false">
      <c r="A37" s="45" t="s">
        <v>119</v>
      </c>
      <c r="B37" s="46" t="n">
        <v>0.3</v>
      </c>
      <c r="C37" s="47" t="n">
        <f aca="false">I22</f>
        <v>2.54</v>
      </c>
      <c r="D37" s="47" t="n">
        <f aca="false">J22</f>
        <v>2.81</v>
      </c>
      <c r="E37" s="47" t="n">
        <f aca="false">(I22+J22)/2*1.05</f>
        <v>2.80875</v>
      </c>
      <c r="F37" s="47" t="n">
        <f aca="false">K22</f>
        <v>3.56</v>
      </c>
      <c r="G37" s="47" t="n">
        <f aca="false">(K22)*1.1</f>
        <v>3.916</v>
      </c>
      <c r="H37" s="31"/>
      <c r="I37" s="31"/>
      <c r="J37" s="31"/>
      <c r="K37" s="31"/>
      <c r="L37" s="31"/>
    </row>
    <row r="38" customFormat="false" ht="24" hidden="false" customHeight="true" outlineLevel="0" collapsed="false">
      <c r="A38" s="45" t="s">
        <v>120</v>
      </c>
      <c r="B38" s="46" t="n">
        <v>0.25</v>
      </c>
      <c r="C38" s="47" t="n">
        <f aca="false">I32</f>
        <v>2.97</v>
      </c>
      <c r="D38" s="47" t="n">
        <f aca="false">J32</f>
        <v>3.23</v>
      </c>
      <c r="E38" s="47" t="n">
        <f aca="false">(I32+J32)/2*1.05</f>
        <v>3.255</v>
      </c>
      <c r="F38" s="47" t="n">
        <f aca="false">K32</f>
        <v>3.89</v>
      </c>
      <c r="G38" s="47" t="n">
        <f aca="false">(K32)*1.1</f>
        <v>4.279</v>
      </c>
      <c r="H38" s="31"/>
      <c r="I38" s="31"/>
      <c r="J38" s="31"/>
      <c r="K38" s="31"/>
      <c r="L38" s="31"/>
    </row>
    <row r="39" customFormat="false" ht="25.5" hidden="false" customHeight="true" outlineLevel="0" collapsed="false">
      <c r="A39" s="48" t="s">
        <v>121</v>
      </c>
      <c r="B39" s="31"/>
      <c r="C39" s="49" t="n">
        <f aca="false">SUMPRODUCT(B36:B38,C36:C38)</f>
        <v>3.1335</v>
      </c>
      <c r="D39" s="49" t="n">
        <f aca="false">SUMPRODUCT(B36:B38,D36:D38)</f>
        <v>3.356</v>
      </c>
      <c r="E39" s="49" t="n">
        <f aca="false">SUMPRODUCT(B36:B38,E36:E38)</f>
        <v>3.4069875</v>
      </c>
      <c r="F39" s="49" t="n">
        <f aca="false">SUMPRODUCT(B36:B38,F36:F38)</f>
        <v>3.872</v>
      </c>
      <c r="G39" s="49" t="n">
        <f aca="false">SUMPRODUCT(B36:B38,G36:G38)</f>
        <v>4.2592</v>
      </c>
      <c r="H39" s="31"/>
      <c r="I39" s="31"/>
      <c r="J39" s="31"/>
      <c r="K39" s="31"/>
      <c r="L39" s="31"/>
    </row>
  </sheetData>
  <mergeCells count="9">
    <mergeCell ref="A1:L1"/>
    <mergeCell ref="A2:L2"/>
    <mergeCell ref="A4:L4"/>
    <mergeCell ref="A12:B12"/>
    <mergeCell ref="A14:L14"/>
    <mergeCell ref="A22:B22"/>
    <mergeCell ref="A24:L24"/>
    <mergeCell ref="A32:B32"/>
    <mergeCell ref="A34:L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  <col collapsed="false" customWidth="true" hidden="false" outlineLevel="0" max="5" min="3" style="1" width="14"/>
    <col collapsed="false" customWidth="true" hidden="false" outlineLevel="0" max="6" min="6" style="1" width="16"/>
    <col collapsed="false" customWidth="true" hidden="false" outlineLevel="0" max="9" min="7" style="1" width="12"/>
    <col collapsed="false" customWidth="true" hidden="false" outlineLevel="0" max="10" min="10" style="1" width="14"/>
  </cols>
  <sheetData>
    <row r="1" customFormat="false" ht="34.5" hidden="false" customHeight="true" outlineLevel="0" collapsed="false">
      <c r="A1" s="24" t="s">
        <v>122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5" hidden="false" customHeight="true" outlineLevel="0" collapsed="false">
      <c r="A2" s="23" t="s">
        <v>123</v>
      </c>
      <c r="B2" s="23"/>
      <c r="C2" s="23"/>
      <c r="D2" s="23"/>
      <c r="E2" s="23"/>
      <c r="F2" s="23"/>
      <c r="G2" s="23"/>
      <c r="H2" s="23"/>
      <c r="I2" s="23"/>
      <c r="J2" s="23"/>
    </row>
    <row r="4" customFormat="false" ht="15" hidden="false" customHeight="true" outlineLevel="0" collapsed="false">
      <c r="A4" s="25" t="s">
        <v>124</v>
      </c>
      <c r="B4" s="25"/>
      <c r="C4" s="25"/>
      <c r="D4" s="25"/>
      <c r="E4" s="25"/>
      <c r="F4" s="25"/>
      <c r="G4" s="25"/>
      <c r="H4" s="25"/>
      <c r="I4" s="25"/>
      <c r="J4" s="25"/>
    </row>
    <row r="5" customFormat="false" ht="39.75" hidden="false" customHeight="true" outlineLevel="0" collapsed="false">
      <c r="A5" s="26" t="s">
        <v>125</v>
      </c>
      <c r="B5" s="26" t="s">
        <v>126</v>
      </c>
      <c r="C5" s="26" t="s">
        <v>127</v>
      </c>
      <c r="D5" s="26" t="s">
        <v>128</v>
      </c>
      <c r="E5" s="26" t="s">
        <v>129</v>
      </c>
      <c r="F5" s="26" t="s">
        <v>130</v>
      </c>
      <c r="G5" s="26" t="s">
        <v>131</v>
      </c>
      <c r="H5" s="26" t="s">
        <v>132</v>
      </c>
      <c r="I5" s="26" t="s">
        <v>133</v>
      </c>
      <c r="J5" s="26" t="s">
        <v>134</v>
      </c>
    </row>
    <row r="6" customFormat="false" ht="24" hidden="false" customHeight="true" outlineLevel="0" collapsed="false">
      <c r="A6" s="27" t="s">
        <v>135</v>
      </c>
      <c r="B6" s="27" t="s">
        <v>136</v>
      </c>
      <c r="C6" s="50" t="n">
        <v>12500</v>
      </c>
      <c r="D6" s="51" t="n">
        <v>0.42</v>
      </c>
      <c r="E6" s="51" t="n">
        <v>0.65</v>
      </c>
      <c r="F6" s="51" t="n">
        <v>0.2</v>
      </c>
      <c r="G6" s="29" t="n">
        <f aca="false">(D6+E6+F6)/3*5</f>
        <v>2.11666666666667</v>
      </c>
      <c r="H6" s="28" t="n">
        <v>2.5</v>
      </c>
      <c r="I6" s="29" t="n">
        <f aca="false">G6/H6*2</f>
        <v>1.69333333333333</v>
      </c>
      <c r="J6" s="29" t="str">
        <f aca="false">IF(I6&gt;=3,"HIGH",IF(I6&gt;=2,"MEDIUM","LOW"))</f>
        <v>LOW</v>
      </c>
    </row>
    <row r="7" customFormat="false" ht="24" hidden="false" customHeight="true" outlineLevel="0" collapsed="false">
      <c r="A7" s="27" t="s">
        <v>137</v>
      </c>
      <c r="B7" s="27" t="s">
        <v>138</v>
      </c>
      <c r="C7" s="50" t="n">
        <v>4200</v>
      </c>
      <c r="D7" s="51" t="n">
        <v>0.68</v>
      </c>
      <c r="E7" s="51" t="n">
        <v>0.3</v>
      </c>
      <c r="F7" s="51" t="n">
        <v>0.45</v>
      </c>
      <c r="G7" s="29" t="n">
        <f aca="false">(D7+E7+F7)/3*5</f>
        <v>2.38333333333333</v>
      </c>
      <c r="H7" s="28" t="n">
        <v>1.8</v>
      </c>
      <c r="I7" s="29" t="n">
        <f aca="false">G7/H7*2</f>
        <v>2.64814814814815</v>
      </c>
      <c r="J7" s="29" t="str">
        <f aca="false">IF(I7&gt;=3,"HIGH",IF(I7&gt;=2,"MEDIUM","LOW"))</f>
        <v>MEDIUM</v>
      </c>
    </row>
    <row r="8" customFormat="false" ht="24" hidden="false" customHeight="true" outlineLevel="0" collapsed="false">
      <c r="A8" s="27" t="s">
        <v>139</v>
      </c>
      <c r="B8" s="27" t="s">
        <v>140</v>
      </c>
      <c r="C8" s="50" t="n">
        <v>6800</v>
      </c>
      <c r="D8" s="51" t="n">
        <v>0.35</v>
      </c>
      <c r="E8" s="51" t="n">
        <v>0.55</v>
      </c>
      <c r="F8" s="51" t="n">
        <v>0.75</v>
      </c>
      <c r="G8" s="29" t="n">
        <f aca="false">(D8+E8+F8)/3*5</f>
        <v>2.75</v>
      </c>
      <c r="H8" s="28" t="n">
        <v>2</v>
      </c>
      <c r="I8" s="29" t="n">
        <f aca="false">G8/H8*2</f>
        <v>2.75</v>
      </c>
      <c r="J8" s="29" t="str">
        <f aca="false">IF(I8&gt;=3,"HIGH",IF(I8&gt;=2,"MEDIUM","LOW"))</f>
        <v>MEDIUM</v>
      </c>
    </row>
    <row r="9" customFormat="false" ht="24" hidden="false" customHeight="true" outlineLevel="0" collapsed="false">
      <c r="A9" s="27" t="s">
        <v>141</v>
      </c>
      <c r="B9" s="27" t="s">
        <v>142</v>
      </c>
      <c r="C9" s="50" t="n">
        <v>3500</v>
      </c>
      <c r="D9" s="51" t="n">
        <v>0.55</v>
      </c>
      <c r="E9" s="51" t="n">
        <v>0.4</v>
      </c>
      <c r="F9" s="51" t="n">
        <v>0.6</v>
      </c>
      <c r="G9" s="29" t="n">
        <f aca="false">(D9+E9+F9)/3*5</f>
        <v>2.58333333333333</v>
      </c>
      <c r="H9" s="28" t="n">
        <v>1.5</v>
      </c>
      <c r="I9" s="29" t="n">
        <f aca="false">G9/H9*2</f>
        <v>3.44444444444444</v>
      </c>
      <c r="J9" s="29" t="str">
        <f aca="false">IF(I9&gt;=3,"HIGH",IF(I9&gt;=2,"MEDIUM","LOW"))</f>
        <v>HIGH</v>
      </c>
    </row>
    <row r="10" customFormat="false" ht="24" hidden="false" customHeight="true" outlineLevel="0" collapsed="false">
      <c r="A10" s="27" t="s">
        <v>143</v>
      </c>
      <c r="B10" s="27" t="s">
        <v>144</v>
      </c>
      <c r="C10" s="50" t="n">
        <v>2200</v>
      </c>
      <c r="D10" s="51" t="n">
        <v>0.38</v>
      </c>
      <c r="E10" s="51" t="n">
        <v>0.72</v>
      </c>
      <c r="F10" s="51" t="n">
        <v>0.3</v>
      </c>
      <c r="G10" s="29" t="n">
        <f aca="false">(D10+E10+F10)/3*5</f>
        <v>2.33333333333333</v>
      </c>
      <c r="H10" s="28" t="n">
        <v>2.2</v>
      </c>
      <c r="I10" s="29" t="n">
        <f aca="false">G10/H10*2</f>
        <v>2.12121212121212</v>
      </c>
      <c r="J10" s="29" t="str">
        <f aca="false">IF(I10&gt;=3,"HIGH",IF(I10&gt;=2,"MEDIUM","LOW"))</f>
        <v>MEDIUM</v>
      </c>
    </row>
    <row r="11" customFormat="false" ht="24" hidden="false" customHeight="true" outlineLevel="0" collapsed="false">
      <c r="A11" s="27" t="s">
        <v>145</v>
      </c>
      <c r="B11" s="27" t="s">
        <v>146</v>
      </c>
      <c r="C11" s="50" t="n">
        <v>1800</v>
      </c>
      <c r="D11" s="51" t="n">
        <v>0.45</v>
      </c>
      <c r="E11" s="51" t="n">
        <v>0.68</v>
      </c>
      <c r="F11" s="51" t="n">
        <v>0.25</v>
      </c>
      <c r="G11" s="29" t="n">
        <f aca="false">(D11+E11+F11)/3*5</f>
        <v>2.3</v>
      </c>
      <c r="H11" s="28" t="n">
        <v>2</v>
      </c>
      <c r="I11" s="29" t="n">
        <f aca="false">G11/H11*2</f>
        <v>2.3</v>
      </c>
      <c r="J11" s="29" t="str">
        <f aca="false">IF(I11&gt;=3,"HIGH",IF(I11&gt;=2,"MEDIUM","LOW"))</f>
        <v>MEDIUM</v>
      </c>
    </row>
    <row r="12" customFormat="false" ht="24" hidden="false" customHeight="true" outlineLevel="0" collapsed="false">
      <c r="A12" s="27" t="s">
        <v>147</v>
      </c>
      <c r="B12" s="27" t="s">
        <v>148</v>
      </c>
      <c r="C12" s="50" t="n">
        <v>3200</v>
      </c>
      <c r="D12" s="51" t="n">
        <v>0.4</v>
      </c>
      <c r="E12" s="51" t="n">
        <v>0.6</v>
      </c>
      <c r="F12" s="51" t="n">
        <v>0.2</v>
      </c>
      <c r="G12" s="29" t="n">
        <f aca="false">(D12+E12+F12)/3*5</f>
        <v>2</v>
      </c>
      <c r="H12" s="28" t="n">
        <v>2.5</v>
      </c>
      <c r="I12" s="29" t="n">
        <f aca="false">G12/H12*2</f>
        <v>1.6</v>
      </c>
      <c r="J12" s="29" t="str">
        <f aca="false">IF(I12&gt;=3,"HIGH",IF(I12&gt;=2,"MEDIUM","LOW"))</f>
        <v>LOW</v>
      </c>
    </row>
    <row r="13" customFormat="false" ht="24" hidden="false" customHeight="true" outlineLevel="0" collapsed="false">
      <c r="A13" s="27" t="s">
        <v>149</v>
      </c>
      <c r="B13" s="27" t="s">
        <v>150</v>
      </c>
      <c r="C13" s="50" t="n">
        <v>800</v>
      </c>
      <c r="D13" s="51" t="n">
        <v>0.5</v>
      </c>
      <c r="E13" s="51" t="n">
        <v>0.5</v>
      </c>
      <c r="F13" s="51" t="n">
        <v>0.55</v>
      </c>
      <c r="G13" s="29" t="n">
        <f aca="false">(D13+E13+F13)/3*5</f>
        <v>2.58333333333333</v>
      </c>
      <c r="H13" s="28" t="n">
        <v>1.2</v>
      </c>
      <c r="I13" s="29" t="n">
        <f aca="false">G13/H13*2</f>
        <v>4.30555555555556</v>
      </c>
      <c r="J13" s="29" t="str">
        <f aca="false">IF(I13&gt;=3,"HIGH",IF(I13&gt;=2,"MEDIUM","LOW"))</f>
        <v>HIGH</v>
      </c>
    </row>
    <row r="14" customFormat="false" ht="24" hidden="false" customHeight="true" outlineLevel="0" collapsed="false">
      <c r="A14" s="27" t="s">
        <v>151</v>
      </c>
      <c r="B14" s="27" t="s">
        <v>152</v>
      </c>
      <c r="C14" s="50" t="n">
        <v>18500</v>
      </c>
      <c r="D14" s="51" t="n">
        <v>0.35</v>
      </c>
      <c r="E14" s="51" t="n">
        <v>0.55</v>
      </c>
      <c r="F14" s="51" t="n">
        <v>0.4</v>
      </c>
      <c r="G14" s="29" t="n">
        <f aca="false">(D14+E14+F14)/3*5</f>
        <v>2.16666666666667</v>
      </c>
      <c r="H14" s="28" t="n">
        <v>3</v>
      </c>
      <c r="I14" s="29" t="n">
        <f aca="false">G14/H14*2</f>
        <v>1.44444444444444</v>
      </c>
      <c r="J14" s="29" t="str">
        <f aca="false">IF(I14&gt;=3,"HIGH",IF(I14&gt;=2,"MEDIUM","LOW"))</f>
        <v>LOW</v>
      </c>
    </row>
    <row r="15" customFormat="false" ht="24" hidden="false" customHeight="true" outlineLevel="0" collapsed="false">
      <c r="A15" s="27" t="s">
        <v>153</v>
      </c>
      <c r="B15" s="27" t="s">
        <v>154</v>
      </c>
      <c r="C15" s="50" t="n">
        <v>950</v>
      </c>
      <c r="D15" s="51" t="n">
        <v>0.72</v>
      </c>
      <c r="E15" s="51" t="n">
        <v>0.8</v>
      </c>
      <c r="F15" s="51" t="n">
        <v>0.65</v>
      </c>
      <c r="G15" s="29" t="n">
        <f aca="false">(D15+E15+F15)/3*5</f>
        <v>3.61666666666667</v>
      </c>
      <c r="H15" s="28" t="n">
        <v>0.8</v>
      </c>
      <c r="I15" s="29" t="n">
        <f aca="false">G15/H15*2</f>
        <v>9.04166666666666</v>
      </c>
      <c r="J15" s="29" t="str">
        <f aca="false">IF(I15&gt;=3,"HIGH",IF(I15&gt;=2,"MEDIUM","LOW"))</f>
        <v>HIGH</v>
      </c>
    </row>
    <row r="16" customFormat="false" ht="24" hidden="false" customHeight="true" outlineLevel="0" collapsed="false">
      <c r="A16" s="52" t="s">
        <v>155</v>
      </c>
      <c r="B16" s="31"/>
      <c r="C16" s="53" t="n">
        <f aca="false">SUM(C6:C15)</f>
        <v>54450</v>
      </c>
      <c r="D16" s="31"/>
      <c r="E16" s="31"/>
      <c r="F16" s="31"/>
      <c r="G16" s="54" t="n">
        <f aca="false">AVERAGE(G6:G15)</f>
        <v>2.48333333333333</v>
      </c>
      <c r="H16" s="31"/>
      <c r="I16" s="54" t="n">
        <f aca="false">AVERAGE(I6:I15)</f>
        <v>3.13488047138047</v>
      </c>
      <c r="J16" s="31"/>
    </row>
    <row r="17" customFormat="false" ht="15" hidden="false" customHeight="true" outlineLevel="0" collapsed="false">
      <c r="A17" s="31"/>
      <c r="B17" s="31"/>
      <c r="C17" s="31"/>
      <c r="D17" s="31"/>
      <c r="E17" s="31"/>
      <c r="F17" s="31"/>
      <c r="G17" s="31"/>
      <c r="H17" s="31"/>
      <c r="I17" s="31"/>
      <c r="J17" s="31"/>
    </row>
    <row r="18" customFormat="false" ht="15" hidden="false" customHeight="true" outlineLevel="0" collapsed="false">
      <c r="A18" s="55" t="s">
        <v>156</v>
      </c>
      <c r="B18" s="55"/>
      <c r="C18" s="55"/>
      <c r="D18" s="55"/>
      <c r="E18" s="55"/>
      <c r="F18" s="55"/>
      <c r="G18" s="55"/>
      <c r="H18" s="55"/>
      <c r="I18" s="55"/>
      <c r="J18" s="55"/>
    </row>
    <row r="19" customFormat="false" ht="39.75" hidden="false" customHeight="true" outlineLevel="0" collapsed="false">
      <c r="A19" s="56" t="s">
        <v>157</v>
      </c>
      <c r="B19" s="56" t="s">
        <v>158</v>
      </c>
      <c r="C19" s="56" t="s">
        <v>159</v>
      </c>
      <c r="D19" s="56" t="s">
        <v>160</v>
      </c>
      <c r="E19" s="56" t="s">
        <v>161</v>
      </c>
      <c r="F19" s="56" t="s">
        <v>162</v>
      </c>
      <c r="G19" s="56" t="s">
        <v>163</v>
      </c>
      <c r="H19" s="56" t="s">
        <v>164</v>
      </c>
      <c r="I19" s="56" t="s">
        <v>165</v>
      </c>
      <c r="J19" s="56" t="s">
        <v>166</v>
      </c>
    </row>
    <row r="20" customFormat="false" ht="24" hidden="false" customHeight="true" outlineLevel="0" collapsed="false">
      <c r="A20" s="27" t="s">
        <v>167</v>
      </c>
      <c r="B20" s="27" t="s">
        <v>168</v>
      </c>
      <c r="C20" s="57" t="n">
        <v>3.8</v>
      </c>
      <c r="D20" s="57" t="n">
        <v>28</v>
      </c>
      <c r="E20" s="58" t="n">
        <v>0.38</v>
      </c>
      <c r="F20" s="29" t="s">
        <v>169</v>
      </c>
      <c r="G20" s="58" t="n">
        <v>0.22</v>
      </c>
      <c r="H20" s="58" t="n">
        <v>0.08</v>
      </c>
      <c r="I20" s="58" t="n">
        <v>0.03</v>
      </c>
      <c r="J20" s="29" t="n">
        <f aca="false">C20*0.3+E20*5*0.25+G20*5*0.15+H20*5*0.15+I20*5*0.15</f>
        <v>1.8625</v>
      </c>
    </row>
    <row r="21" customFormat="false" ht="24" hidden="false" customHeight="true" outlineLevel="0" collapsed="false">
      <c r="A21" s="27" t="s">
        <v>170</v>
      </c>
      <c r="B21" s="27" t="s">
        <v>171</v>
      </c>
      <c r="C21" s="57" t="n">
        <v>3.5</v>
      </c>
      <c r="D21" s="57" t="n">
        <v>24</v>
      </c>
      <c r="E21" s="58" t="n">
        <v>0.32</v>
      </c>
      <c r="F21" s="29" t="s">
        <v>172</v>
      </c>
      <c r="G21" s="58" t="n">
        <v>0.24</v>
      </c>
      <c r="H21" s="58" t="n">
        <v>0.09</v>
      </c>
      <c r="I21" s="58" t="n">
        <v>0.02</v>
      </c>
      <c r="J21" s="29" t="n">
        <f aca="false">C21*0.3+E21*5*0.25+G21*5*0.15+H21*5*0.15+I21*5*0.15</f>
        <v>1.7125</v>
      </c>
    </row>
    <row r="22" customFormat="false" ht="24" hidden="false" customHeight="true" outlineLevel="0" collapsed="false">
      <c r="A22" s="27" t="s">
        <v>173</v>
      </c>
      <c r="B22" s="27" t="s">
        <v>174</v>
      </c>
      <c r="C22" s="57" t="n">
        <v>3.2</v>
      </c>
      <c r="D22" s="57" t="n">
        <v>20</v>
      </c>
      <c r="E22" s="58" t="n">
        <v>0.28</v>
      </c>
      <c r="F22" s="29" t="s">
        <v>175</v>
      </c>
      <c r="G22" s="58" t="n">
        <v>0.2</v>
      </c>
      <c r="H22" s="58" t="n">
        <v>0.07</v>
      </c>
      <c r="I22" s="58" t="n">
        <v>0.03</v>
      </c>
      <c r="J22" s="29" t="n">
        <f aca="false">C22*0.3+E22*5*0.25+G22*5*0.15+H22*5*0.15+I22*5*0.15</f>
        <v>1.535</v>
      </c>
    </row>
    <row r="23" customFormat="false" ht="24" hidden="false" customHeight="true" outlineLevel="0" collapsed="false">
      <c r="A23" s="27" t="s">
        <v>176</v>
      </c>
      <c r="B23" s="27" t="s">
        <v>177</v>
      </c>
      <c r="C23" s="57" t="n">
        <v>2.8</v>
      </c>
      <c r="D23" s="57" t="n">
        <v>16</v>
      </c>
      <c r="E23" s="58" t="n">
        <v>0.22</v>
      </c>
      <c r="F23" s="29" t="s">
        <v>178</v>
      </c>
      <c r="G23" s="58" t="n">
        <v>0.22</v>
      </c>
      <c r="H23" s="58" t="n">
        <v>0.1</v>
      </c>
      <c r="I23" s="58" t="n">
        <v>0.04</v>
      </c>
      <c r="J23" s="29" t="n">
        <f aca="false">C23*0.3+E23*5*0.25+G23*5*0.15+H23*5*0.15+I23*5*0.15</f>
        <v>1.385</v>
      </c>
    </row>
    <row r="24" customFormat="false" ht="24" hidden="false" customHeight="true" outlineLevel="0" collapsed="false">
      <c r="A24" s="27" t="s">
        <v>179</v>
      </c>
      <c r="B24" s="27" t="s">
        <v>180</v>
      </c>
      <c r="C24" s="57" t="n">
        <v>2.2</v>
      </c>
      <c r="D24" s="57" t="n">
        <v>12</v>
      </c>
      <c r="E24" s="58" t="n">
        <v>0.18</v>
      </c>
      <c r="F24" s="29" t="s">
        <v>181</v>
      </c>
      <c r="G24" s="58" t="n">
        <v>0.18</v>
      </c>
      <c r="H24" s="58" t="n">
        <v>0.06</v>
      </c>
      <c r="I24" s="58" t="n">
        <v>0.02</v>
      </c>
      <c r="J24" s="29" t="n">
        <f aca="false">C24*0.3+E24*5*0.25+G24*5*0.15+H24*5*0.15+I24*5*0.15</f>
        <v>1.08</v>
      </c>
    </row>
    <row r="25" customFormat="false" ht="24" hidden="false" customHeight="true" outlineLevel="0" collapsed="false">
      <c r="A25" s="27" t="s">
        <v>182</v>
      </c>
      <c r="B25" s="27" t="s">
        <v>183</v>
      </c>
      <c r="C25" s="57" t="n">
        <v>2.5</v>
      </c>
      <c r="D25" s="57" t="n">
        <v>15</v>
      </c>
      <c r="E25" s="58" t="n">
        <v>0.2</v>
      </c>
      <c r="F25" s="29" t="s">
        <v>181</v>
      </c>
      <c r="G25" s="58" t="n">
        <v>0.19</v>
      </c>
      <c r="H25" s="58" t="n">
        <v>0.07</v>
      </c>
      <c r="I25" s="58" t="n">
        <v>0.02</v>
      </c>
      <c r="J25" s="29" t="n">
        <f aca="false">C25*0.3+E25*5*0.25+G25*5*0.15+H25*5*0.15+I25*5*0.15</f>
        <v>1.21</v>
      </c>
    </row>
    <row r="26" customFormat="false" ht="24" hidden="false" customHeight="true" outlineLevel="0" collapsed="false">
      <c r="A26" s="59" t="s">
        <v>184</v>
      </c>
      <c r="B26" s="59"/>
      <c r="C26" s="31"/>
      <c r="D26" s="31"/>
      <c r="E26" s="31"/>
      <c r="F26" s="31"/>
      <c r="G26" s="31"/>
      <c r="H26" s="31"/>
      <c r="I26" s="31"/>
      <c r="J26" s="60" t="n">
        <f aca="false">AVERAGE(J20:J25)</f>
        <v>1.46416666666667</v>
      </c>
    </row>
  </sheetData>
  <mergeCells count="5">
    <mergeCell ref="A1:J1"/>
    <mergeCell ref="A2:J2"/>
    <mergeCell ref="A4:J4"/>
    <mergeCell ref="A18:J18"/>
    <mergeCell ref="A26:B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0"/>
    <col collapsed="false" customWidth="true" hidden="false" outlineLevel="0" max="7" min="5" style="1" width="12"/>
    <col collapsed="false" customWidth="true" hidden="false" outlineLevel="0" max="8" min="8" style="1" width="14"/>
    <col collapsed="false" customWidth="true" hidden="false" outlineLevel="0" max="9" min="9" style="1" width="12"/>
    <col collapsed="false" customWidth="true" hidden="false" outlineLevel="0" max="11" min="10" style="1" width="14"/>
    <col collapsed="false" customWidth="true" hidden="false" outlineLevel="0" max="12" min="12" style="1" width="24"/>
    <col collapsed="false" customWidth="true" hidden="false" outlineLevel="0" max="13" min="13" style="1" width="10"/>
  </cols>
  <sheetData>
    <row r="1" customFormat="false" ht="34.5" hidden="false" customHeight="true" outlineLevel="0" collapsed="false">
      <c r="A1" s="24" t="s">
        <v>185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customFormat="false" ht="15" hidden="false" customHeight="true" outlineLevel="0" collapsed="false">
      <c r="A2" s="23" t="s">
        <v>186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customFormat="false" ht="15" hidden="false" customHeight="true" outlineLevel="0" collapsed="false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customFormat="false" ht="19.5" hidden="false" customHeight="true" outlineLevel="0" collapsed="false">
      <c r="A5" s="61" t="s">
        <v>188</v>
      </c>
      <c r="B5" s="62" t="s">
        <v>189</v>
      </c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</row>
    <row r="6" customFormat="false" ht="19.5" hidden="false" customHeight="true" outlineLevel="0" collapsed="false">
      <c r="A6" s="63" t="s">
        <v>190</v>
      </c>
      <c r="B6" s="62" t="s">
        <v>191</v>
      </c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</row>
    <row r="7" customFormat="false" ht="19.5" hidden="false" customHeight="true" outlineLevel="0" collapsed="false">
      <c r="A7" s="64" t="s">
        <v>192</v>
      </c>
      <c r="B7" s="62" t="s">
        <v>193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</row>
    <row r="8" customFormat="false" ht="19.5" hidden="false" customHeight="true" outlineLevel="0" collapsed="false">
      <c r="A8" s="65" t="s">
        <v>194</v>
      </c>
      <c r="B8" s="62" t="s">
        <v>195</v>
      </c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</row>
    <row r="11" customFormat="false" ht="15" hidden="false" customHeight="true" outlineLevel="0" collapsed="false">
      <c r="A11" s="25" t="s">
        <v>196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</row>
    <row r="12" customFormat="false" ht="39.75" hidden="false" customHeight="true" outlineLevel="0" collapsed="false">
      <c r="A12" s="26" t="s">
        <v>197</v>
      </c>
      <c r="B12" s="26" t="s">
        <v>198</v>
      </c>
      <c r="C12" s="26" t="s">
        <v>199</v>
      </c>
      <c r="D12" s="26" t="s">
        <v>200</v>
      </c>
      <c r="E12" s="26" t="s">
        <v>201</v>
      </c>
      <c r="F12" s="26" t="s">
        <v>202</v>
      </c>
      <c r="G12" s="26" t="s">
        <v>203</v>
      </c>
      <c r="H12" s="26" t="s">
        <v>204</v>
      </c>
      <c r="I12" s="26" t="s">
        <v>205</v>
      </c>
      <c r="J12" s="26" t="s">
        <v>206</v>
      </c>
      <c r="K12" s="26" t="s">
        <v>207</v>
      </c>
      <c r="L12" s="26" t="s">
        <v>208</v>
      </c>
      <c r="M12" s="26" t="s">
        <v>209</v>
      </c>
    </row>
    <row r="13" customFormat="false" ht="25.5" hidden="false" customHeight="true" outlineLevel="0" collapsed="false">
      <c r="A13" s="66" t="s">
        <v>210</v>
      </c>
      <c r="B13" s="28" t="n">
        <v>4.2</v>
      </c>
      <c r="C13" s="28" t="n">
        <v>4</v>
      </c>
      <c r="D13" s="28" t="n">
        <v>1.8</v>
      </c>
      <c r="E13" s="67" t="n">
        <f aca="false">B13*C13/D13</f>
        <v>9.33333333333333</v>
      </c>
      <c r="F13" s="67" t="n">
        <f aca="false">E13*0.75</f>
        <v>7</v>
      </c>
      <c r="G13" s="67" t="str">
        <f aca="false">IF(F13&gt;=3.5,"CRITICAL",IF(F13&gt;=2.5,"HIGH",IF(F13&gt;=1.5,"MEDIUM","LOW")))</f>
        <v>CRITICAL</v>
      </c>
      <c r="H13" s="28" t="n">
        <v>620</v>
      </c>
      <c r="I13" s="28" t="n">
        <v>480</v>
      </c>
      <c r="J13" s="67" t="s">
        <v>211</v>
      </c>
      <c r="K13" s="67" t="s">
        <v>212</v>
      </c>
      <c r="L13" s="67" t="s">
        <v>213</v>
      </c>
      <c r="M13" s="67" t="s">
        <v>214</v>
      </c>
    </row>
    <row r="14" customFormat="false" ht="25.5" hidden="false" customHeight="true" outlineLevel="0" collapsed="false">
      <c r="A14" s="68" t="s">
        <v>215</v>
      </c>
      <c r="B14" s="28" t="n">
        <v>4</v>
      </c>
      <c r="C14" s="28" t="n">
        <v>3.8</v>
      </c>
      <c r="D14" s="28" t="n">
        <v>2.5</v>
      </c>
      <c r="E14" s="69" t="n">
        <f aca="false">B14*C14/D14</f>
        <v>6.08</v>
      </c>
      <c r="F14" s="69" t="n">
        <f aca="false">E14*0.75</f>
        <v>4.56</v>
      </c>
      <c r="G14" s="69" t="str">
        <f aca="false">IF(F14&gt;=3.5,"CRITICAL",IF(F14&gt;=2.5,"HIGH",IF(F14&gt;=1.5,"MEDIUM","LOW")))</f>
        <v>CRITICAL</v>
      </c>
      <c r="H14" s="28" t="n">
        <v>380</v>
      </c>
      <c r="I14" s="28" t="n">
        <v>120</v>
      </c>
      <c r="J14" s="69" t="s">
        <v>211</v>
      </c>
      <c r="K14" s="69" t="s">
        <v>212</v>
      </c>
      <c r="L14" s="69" t="s">
        <v>216</v>
      </c>
      <c r="M14" s="69" t="s">
        <v>214</v>
      </c>
    </row>
    <row r="15" customFormat="false" ht="25.5" hidden="false" customHeight="true" outlineLevel="0" collapsed="false">
      <c r="A15" s="66" t="s">
        <v>217</v>
      </c>
      <c r="B15" s="28" t="n">
        <v>3.8</v>
      </c>
      <c r="C15" s="28" t="n">
        <v>3.5</v>
      </c>
      <c r="D15" s="28" t="n">
        <v>2</v>
      </c>
      <c r="E15" s="67" t="n">
        <f aca="false">B15*C15/D15</f>
        <v>6.65</v>
      </c>
      <c r="F15" s="67" t="n">
        <f aca="false">E15*0.75</f>
        <v>4.9875</v>
      </c>
      <c r="G15" s="67" t="str">
        <f aca="false">IF(F15&gt;=3.5,"CRITICAL",IF(F15&gt;=2.5,"HIGH",IF(F15&gt;=1.5,"MEDIUM","LOW")))</f>
        <v>CRITICAL</v>
      </c>
      <c r="H15" s="28" t="n">
        <v>180</v>
      </c>
      <c r="I15" s="28" t="n">
        <v>650</v>
      </c>
      <c r="J15" s="67" t="s">
        <v>218</v>
      </c>
      <c r="K15" s="67" t="s">
        <v>212</v>
      </c>
      <c r="L15" s="67" t="s">
        <v>219</v>
      </c>
      <c r="M15" s="67" t="s">
        <v>214</v>
      </c>
    </row>
    <row r="16" customFormat="false" ht="25.5" hidden="false" customHeight="true" outlineLevel="0" collapsed="false">
      <c r="A16" s="68" t="s">
        <v>220</v>
      </c>
      <c r="B16" s="28" t="n">
        <v>3.5</v>
      </c>
      <c r="C16" s="28" t="n">
        <v>4</v>
      </c>
      <c r="D16" s="28" t="n">
        <v>2.2</v>
      </c>
      <c r="E16" s="69" t="n">
        <f aca="false">B16*C16/D16</f>
        <v>6.36363636363636</v>
      </c>
      <c r="F16" s="69" t="n">
        <f aca="false">E16*0.75</f>
        <v>4.77272727272727</v>
      </c>
      <c r="G16" s="69" t="str">
        <f aca="false">IF(F16&gt;=3.5,"CRITICAL",IF(F16&gt;=2.5,"HIGH",IF(F16&gt;=1.5,"MEDIUM","LOW")))</f>
        <v>CRITICAL</v>
      </c>
      <c r="H16" s="28" t="n">
        <v>220</v>
      </c>
      <c r="I16" s="28" t="n">
        <v>380</v>
      </c>
      <c r="J16" s="69" t="s">
        <v>211</v>
      </c>
      <c r="K16" s="69" t="s">
        <v>212</v>
      </c>
      <c r="L16" s="69" t="s">
        <v>221</v>
      </c>
      <c r="M16" s="69" t="s">
        <v>214</v>
      </c>
    </row>
    <row r="17" customFormat="false" ht="25.5" hidden="false" customHeight="true" outlineLevel="0" collapsed="false">
      <c r="A17" s="66" t="s">
        <v>222</v>
      </c>
      <c r="B17" s="28" t="n">
        <v>3.8</v>
      </c>
      <c r="C17" s="28" t="n">
        <v>3.5</v>
      </c>
      <c r="D17" s="28" t="n">
        <v>2</v>
      </c>
      <c r="E17" s="67" t="n">
        <f aca="false">B17*C17/D17</f>
        <v>6.65</v>
      </c>
      <c r="F17" s="67" t="n">
        <f aca="false">E17*0.75</f>
        <v>4.9875</v>
      </c>
      <c r="G17" s="67" t="str">
        <f aca="false">IF(F17&gt;=3.5,"CRITICAL",IF(F17&gt;=2.5,"HIGH",IF(F17&gt;=1.5,"MEDIUM","LOW")))</f>
        <v>CRITICAL</v>
      </c>
      <c r="H17" s="28" t="n">
        <v>150</v>
      </c>
      <c r="I17" s="28" t="n">
        <v>900</v>
      </c>
      <c r="J17" s="67" t="s">
        <v>211</v>
      </c>
      <c r="K17" s="67" t="s">
        <v>212</v>
      </c>
      <c r="L17" s="67" t="s">
        <v>223</v>
      </c>
      <c r="M17" s="67" t="s">
        <v>214</v>
      </c>
    </row>
    <row r="18" customFormat="false" ht="25.5" hidden="false" customHeight="true" outlineLevel="0" collapsed="false">
      <c r="A18" s="68" t="s">
        <v>224</v>
      </c>
      <c r="B18" s="28" t="n">
        <v>3.5</v>
      </c>
      <c r="C18" s="28" t="n">
        <v>3.8</v>
      </c>
      <c r="D18" s="28" t="n">
        <v>2.5</v>
      </c>
      <c r="E18" s="69" t="n">
        <f aca="false">B18*C18/D18</f>
        <v>5.32</v>
      </c>
      <c r="F18" s="69" t="n">
        <f aca="false">E18*0.75</f>
        <v>3.99</v>
      </c>
      <c r="G18" s="69" t="str">
        <f aca="false">IF(F18&gt;=3.5,"CRITICAL",IF(F18&gt;=2.5,"HIGH",IF(F18&gt;=1.5,"MEDIUM","LOW")))</f>
        <v>CRITICAL</v>
      </c>
      <c r="H18" s="28" t="n">
        <v>120</v>
      </c>
      <c r="I18" s="28" t="n">
        <v>300</v>
      </c>
      <c r="J18" s="69" t="s">
        <v>225</v>
      </c>
      <c r="K18" s="69" t="s">
        <v>226</v>
      </c>
      <c r="L18" s="69" t="s">
        <v>227</v>
      </c>
      <c r="M18" s="69" t="s">
        <v>214</v>
      </c>
    </row>
    <row r="19" customFormat="false" ht="25.5" hidden="false" customHeight="true" outlineLevel="0" collapsed="false">
      <c r="A19" s="66" t="s">
        <v>228</v>
      </c>
      <c r="B19" s="28" t="n">
        <v>4.2</v>
      </c>
      <c r="C19" s="28" t="n">
        <v>4.2</v>
      </c>
      <c r="D19" s="28" t="n">
        <v>1.5</v>
      </c>
      <c r="E19" s="67" t="n">
        <f aca="false">B19*C19/D19</f>
        <v>11.76</v>
      </c>
      <c r="F19" s="67" t="n">
        <f aca="false">E19*0.75</f>
        <v>8.82</v>
      </c>
      <c r="G19" s="67" t="str">
        <f aca="false">IF(F19&gt;=3.5,"CRITICAL",IF(F19&gt;=2.5,"HIGH",IF(F19&gt;=1.5,"MEDIUM","LOW")))</f>
        <v>CRITICAL</v>
      </c>
      <c r="H19" s="28" t="n">
        <v>280</v>
      </c>
      <c r="I19" s="28" t="n">
        <v>420</v>
      </c>
      <c r="J19" s="67" t="s">
        <v>211</v>
      </c>
      <c r="K19" s="67" t="s">
        <v>212</v>
      </c>
      <c r="L19" s="67" t="s">
        <v>229</v>
      </c>
      <c r="M19" s="67" t="s">
        <v>214</v>
      </c>
    </row>
    <row r="20" customFormat="false" ht="25.5" hidden="false" customHeight="true" outlineLevel="0" collapsed="false">
      <c r="A20" s="68" t="s">
        <v>230</v>
      </c>
      <c r="B20" s="28" t="n">
        <v>3.2</v>
      </c>
      <c r="C20" s="28" t="n">
        <v>3</v>
      </c>
      <c r="D20" s="28" t="n">
        <v>2.2</v>
      </c>
      <c r="E20" s="69" t="n">
        <f aca="false">B20*C20/D20</f>
        <v>4.36363636363636</v>
      </c>
      <c r="F20" s="69" t="n">
        <f aca="false">E20*0.75</f>
        <v>3.27272727272727</v>
      </c>
      <c r="G20" s="69" t="str">
        <f aca="false">IF(F20&gt;=3.5,"CRITICAL",IF(F20&gt;=2.5,"HIGH",IF(F20&gt;=1.5,"MEDIUM","LOW")))</f>
        <v>HIGH</v>
      </c>
      <c r="H20" s="28" t="n">
        <v>85</v>
      </c>
      <c r="I20" s="28" t="n">
        <v>210</v>
      </c>
      <c r="J20" s="69" t="s">
        <v>225</v>
      </c>
      <c r="K20" s="69" t="s">
        <v>226</v>
      </c>
      <c r="L20" s="69" t="s">
        <v>231</v>
      </c>
      <c r="M20" s="69" t="s">
        <v>232</v>
      </c>
    </row>
    <row r="21" customFormat="false" ht="25.5" hidden="false" customHeight="true" outlineLevel="0" collapsed="false">
      <c r="A21" s="66" t="s">
        <v>233</v>
      </c>
      <c r="B21" s="28" t="n">
        <v>3</v>
      </c>
      <c r="C21" s="28" t="n">
        <v>2.8</v>
      </c>
      <c r="D21" s="28" t="n">
        <v>1.8</v>
      </c>
      <c r="E21" s="67" t="n">
        <f aca="false">B21*C21/D21</f>
        <v>4.66666666666667</v>
      </c>
      <c r="F21" s="67" t="n">
        <f aca="false">E21*0.75</f>
        <v>3.5</v>
      </c>
      <c r="G21" s="67" t="str">
        <f aca="false">IF(F21&gt;=3.5,"CRITICAL",IF(F21&gt;=2.5,"HIGH",IF(F21&gt;=1.5,"MEDIUM","LOW")))</f>
        <v>CRITICAL</v>
      </c>
      <c r="H21" s="28" t="n">
        <v>45</v>
      </c>
      <c r="I21" s="28" t="n">
        <v>150</v>
      </c>
      <c r="J21" s="67" t="s">
        <v>211</v>
      </c>
      <c r="K21" s="67" t="s">
        <v>226</v>
      </c>
      <c r="L21" s="67" t="s">
        <v>234</v>
      </c>
      <c r="M21" s="67" t="s">
        <v>214</v>
      </c>
    </row>
    <row r="22" customFormat="false" ht="25.5" hidden="false" customHeight="true" outlineLevel="0" collapsed="false">
      <c r="A22" s="68" t="s">
        <v>235</v>
      </c>
      <c r="B22" s="28" t="n">
        <v>2.5</v>
      </c>
      <c r="C22" s="28" t="n">
        <v>2.5</v>
      </c>
      <c r="D22" s="28" t="n">
        <v>2.5</v>
      </c>
      <c r="E22" s="69" t="n">
        <f aca="false">B22*C22/D22</f>
        <v>2.5</v>
      </c>
      <c r="F22" s="69" t="n">
        <f aca="false">E22*0.75</f>
        <v>1.875</v>
      </c>
      <c r="G22" s="69" t="str">
        <f aca="false">IF(F22&gt;=3.5,"CRITICAL",IF(F22&gt;=2.5,"HIGH",IF(F22&gt;=1.5,"MEDIUM","LOW")))</f>
        <v>MEDIUM</v>
      </c>
      <c r="H22" s="28" t="n">
        <v>35</v>
      </c>
      <c r="I22" s="28" t="n">
        <v>180</v>
      </c>
      <c r="J22" s="69" t="s">
        <v>225</v>
      </c>
      <c r="K22" s="69" t="s">
        <v>236</v>
      </c>
      <c r="L22" s="69" t="s">
        <v>237</v>
      </c>
      <c r="M22" s="69" t="s">
        <v>232</v>
      </c>
    </row>
    <row r="23" customFormat="false" ht="25.5" hidden="false" customHeight="true" outlineLevel="0" collapsed="false">
      <c r="A23" s="70" t="s">
        <v>238</v>
      </c>
      <c r="B23" s="70"/>
      <c r="C23" s="70"/>
      <c r="D23" s="70"/>
      <c r="E23" s="70"/>
      <c r="F23" s="70"/>
      <c r="G23" s="70"/>
      <c r="H23" s="71" t="n">
        <f aca="false">SUM(H13:H22)</f>
        <v>2115</v>
      </c>
      <c r="I23" s="71" t="n">
        <f aca="false">SUM(I13:I22)</f>
        <v>3790</v>
      </c>
      <c r="J23" s="31"/>
      <c r="K23" s="31"/>
      <c r="L23" s="31"/>
      <c r="M23" s="31"/>
    </row>
  </sheetData>
  <mergeCells count="9">
    <mergeCell ref="A1:M1"/>
    <mergeCell ref="A2:M2"/>
    <mergeCell ref="A4:M4"/>
    <mergeCell ref="B5:M5"/>
    <mergeCell ref="B6:M6"/>
    <mergeCell ref="B7:M7"/>
    <mergeCell ref="B8:M8"/>
    <mergeCell ref="A11:M11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11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8" min="6" style="1" width="13"/>
    <col collapsed="false" customWidth="true" hidden="false" outlineLevel="0" max="9" min="9" style="1" width="16"/>
    <col collapsed="false" customWidth="true" hidden="false" outlineLevel="0" max="10" min="10" style="1" width="10"/>
    <col collapsed="false" customWidth="true" hidden="false" outlineLevel="0" max="11" min="11" style="1" width="14"/>
    <col collapsed="false" customWidth="true" hidden="false" outlineLevel="0" max="12" min="12" style="1" width="10"/>
    <col collapsed="false" customWidth="true" hidden="false" outlineLevel="0" max="13" min="13" style="1" width="13"/>
    <col collapsed="false" customWidth="true" hidden="false" outlineLevel="0" max="14" min="14" style="1" width="8"/>
  </cols>
  <sheetData>
    <row r="1" customFormat="false" ht="34.5" hidden="false" customHeight="true" outlineLevel="0" collapsed="false">
      <c r="A1" s="24" t="s">
        <v>239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customFormat="false" ht="15" hidden="false" customHeight="true" outlineLevel="0" collapsed="false">
      <c r="A2" s="23" t="s">
        <v>240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</row>
    <row r="4" customFormat="false" ht="15" hidden="false" customHeight="true" outlineLevel="0" collapsed="false">
      <c r="A4" s="72" t="s">
        <v>241</v>
      </c>
      <c r="B4" s="72"/>
      <c r="C4" s="72"/>
    </row>
    <row r="5" customFormat="false" ht="19.5" hidden="false" customHeight="true" outlineLevel="0" collapsed="false">
      <c r="A5" s="73" t="s">
        <v>242</v>
      </c>
      <c r="B5" s="74" t="n">
        <v>0.3</v>
      </c>
      <c r="C5" s="75" t="s">
        <v>243</v>
      </c>
      <c r="D5" s="76" t="n">
        <f aca="false">SUM(B5:B9)</f>
        <v>1</v>
      </c>
    </row>
    <row r="6" customFormat="false" ht="19.5" hidden="false" customHeight="true" outlineLevel="0" collapsed="false">
      <c r="A6" s="73" t="s">
        <v>244</v>
      </c>
      <c r="B6" s="74" t="n">
        <v>0.25</v>
      </c>
    </row>
    <row r="7" customFormat="false" ht="19.5" hidden="false" customHeight="true" outlineLevel="0" collapsed="false">
      <c r="A7" s="73" t="s">
        <v>245</v>
      </c>
      <c r="B7" s="74" t="n">
        <v>0.2</v>
      </c>
    </row>
    <row r="8" customFormat="false" ht="19.5" hidden="false" customHeight="true" outlineLevel="0" collapsed="false">
      <c r="A8" s="73" t="s">
        <v>246</v>
      </c>
      <c r="B8" s="74" t="n">
        <v>0.15</v>
      </c>
    </row>
    <row r="9" customFormat="false" ht="19.5" hidden="false" customHeight="true" outlineLevel="0" collapsed="false">
      <c r="A9" s="73" t="s">
        <v>247</v>
      </c>
      <c r="B9" s="74" t="n">
        <v>0.1</v>
      </c>
    </row>
    <row r="11" customFormat="false" ht="15" hidden="false" customHeight="true" outlineLevel="0" collapsed="false">
      <c r="A11" s="25" t="s">
        <v>248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</row>
    <row r="12" customFormat="false" ht="43.5" hidden="false" customHeight="true" outlineLevel="0" collapsed="false">
      <c r="A12" s="26" t="s">
        <v>249</v>
      </c>
      <c r="B12" s="26" t="s">
        <v>250</v>
      </c>
      <c r="C12" s="26" t="s">
        <v>251</v>
      </c>
      <c r="D12" s="26" t="s">
        <v>252</v>
      </c>
      <c r="E12" s="26" t="s">
        <v>253</v>
      </c>
      <c r="F12" s="26" t="s">
        <v>254</v>
      </c>
      <c r="G12" s="26" t="s">
        <v>255</v>
      </c>
      <c r="H12" s="26" t="s">
        <v>256</v>
      </c>
      <c r="I12" s="26" t="s">
        <v>257</v>
      </c>
      <c r="J12" s="26" t="s">
        <v>209</v>
      </c>
      <c r="K12" s="26" t="s">
        <v>258</v>
      </c>
      <c r="L12" s="26" t="s">
        <v>259</v>
      </c>
      <c r="M12" s="26" t="s">
        <v>260</v>
      </c>
      <c r="N12" s="26" t="s">
        <v>261</v>
      </c>
    </row>
    <row r="13" customFormat="false" ht="27.75" hidden="false" customHeight="true" outlineLevel="0" collapsed="false">
      <c r="A13" s="66" t="s">
        <v>262</v>
      </c>
      <c r="B13" s="66" t="s">
        <v>263</v>
      </c>
      <c r="C13" s="50" t="n">
        <v>180</v>
      </c>
      <c r="D13" s="50" t="n">
        <v>95</v>
      </c>
      <c r="E13" s="28" t="n">
        <v>4.8</v>
      </c>
      <c r="F13" s="28" t="n">
        <v>420</v>
      </c>
      <c r="G13" s="28" t="n">
        <v>4.5</v>
      </c>
      <c r="H13" s="28" t="n">
        <v>4</v>
      </c>
      <c r="I13" s="67" t="s">
        <v>264</v>
      </c>
      <c r="J13" s="67" t="s">
        <v>214</v>
      </c>
      <c r="K13" s="50" t="n">
        <v>8500</v>
      </c>
      <c r="L13" s="67" t="s">
        <v>265</v>
      </c>
      <c r="M13" s="77" t="n">
        <f aca="false">$B$5*E13/$B$9*5+$B$6*F13/500*5+$B$7*D13/100*5+$B$8*G13/5*5+$B$9*H13/5*5</f>
        <v>75.075</v>
      </c>
      <c r="N13" s="78" t="n">
        <f aca="false">RANK(M13,$M$13:$M$27,0)</f>
        <v>3</v>
      </c>
    </row>
    <row r="14" customFormat="false" ht="27.75" hidden="false" customHeight="true" outlineLevel="0" collapsed="false">
      <c r="A14" s="68" t="s">
        <v>266</v>
      </c>
      <c r="B14" s="68" t="s">
        <v>267</v>
      </c>
      <c r="C14" s="50" t="n">
        <v>220</v>
      </c>
      <c r="D14" s="50" t="n">
        <v>110</v>
      </c>
      <c r="E14" s="28" t="n">
        <v>5.2</v>
      </c>
      <c r="F14" s="28" t="n">
        <v>380</v>
      </c>
      <c r="G14" s="28" t="n">
        <v>4.8</v>
      </c>
      <c r="H14" s="28" t="n">
        <v>3.5</v>
      </c>
      <c r="I14" s="69" t="s">
        <v>264</v>
      </c>
      <c r="J14" s="69" t="s">
        <v>214</v>
      </c>
      <c r="K14" s="50" t="n">
        <v>12000</v>
      </c>
      <c r="L14" s="69" t="s">
        <v>265</v>
      </c>
      <c r="M14" s="77" t="n">
        <f aca="false">$B$5*E14/$B$9*5+$B$6*F14/500*5+$B$7*D14/100*5+$B$8*G14/5*5+$B$9*H14/5*5</f>
        <v>81.12</v>
      </c>
      <c r="N14" s="78" t="n">
        <f aca="false">RANK(M14,$M$13:$M$27,0)</f>
        <v>2</v>
      </c>
    </row>
    <row r="15" customFormat="false" ht="27.75" hidden="false" customHeight="true" outlineLevel="0" collapsed="false">
      <c r="A15" s="66" t="s">
        <v>268</v>
      </c>
      <c r="B15" s="66" t="s">
        <v>269</v>
      </c>
      <c r="C15" s="50" t="n">
        <v>85</v>
      </c>
      <c r="D15" s="50" t="n">
        <v>65</v>
      </c>
      <c r="E15" s="28" t="n">
        <v>4.2</v>
      </c>
      <c r="F15" s="28" t="n">
        <v>650</v>
      </c>
      <c r="G15" s="28" t="n">
        <v>5</v>
      </c>
      <c r="H15" s="28" t="n">
        <v>4.5</v>
      </c>
      <c r="I15" s="67" t="s">
        <v>270</v>
      </c>
      <c r="J15" s="67" t="s">
        <v>214</v>
      </c>
      <c r="K15" s="50" t="n">
        <v>25000</v>
      </c>
      <c r="L15" s="67" t="s">
        <v>265</v>
      </c>
      <c r="M15" s="77" t="n">
        <f aca="false">$B$5*E15/$B$9*5+$B$6*F15/500*5+$B$7*D15/100*5+$B$8*G15/5*5+$B$9*H15/5*5</f>
        <v>66.475</v>
      </c>
      <c r="N15" s="78" t="n">
        <f aca="false">RANK(M15,$M$13:$M$27,0)</f>
        <v>6</v>
      </c>
    </row>
    <row r="16" customFormat="false" ht="27.75" hidden="false" customHeight="true" outlineLevel="0" collapsed="false">
      <c r="A16" s="68" t="s">
        <v>271</v>
      </c>
      <c r="B16" s="68" t="s">
        <v>272</v>
      </c>
      <c r="C16" s="50" t="n">
        <v>150</v>
      </c>
      <c r="D16" s="50" t="n">
        <v>70</v>
      </c>
      <c r="E16" s="28" t="n">
        <v>4.5</v>
      </c>
      <c r="F16" s="28" t="n">
        <v>900</v>
      </c>
      <c r="G16" s="28" t="n">
        <v>4.2</v>
      </c>
      <c r="H16" s="28" t="n">
        <v>3.8</v>
      </c>
      <c r="I16" s="69" t="s">
        <v>120</v>
      </c>
      <c r="J16" s="69" t="s">
        <v>214</v>
      </c>
      <c r="K16" s="50" t="n">
        <v>5000</v>
      </c>
      <c r="L16" s="69" t="s">
        <v>265</v>
      </c>
      <c r="M16" s="77" t="n">
        <f aca="false">$B$5*E16/$B$9*5+$B$6*F16/500*5+$B$7*D16/100*5+$B$8*G16/5*5+$B$9*H16/5*5</f>
        <v>71.46</v>
      </c>
      <c r="N16" s="78" t="n">
        <f aca="false">RANK(M16,$M$13:$M$27,0)</f>
        <v>4</v>
      </c>
    </row>
    <row r="17" customFormat="false" ht="27.75" hidden="false" customHeight="true" outlineLevel="0" collapsed="false">
      <c r="A17" s="66" t="s">
        <v>273</v>
      </c>
      <c r="B17" s="66" t="s">
        <v>274</v>
      </c>
      <c r="C17" s="50" t="n">
        <v>120</v>
      </c>
      <c r="D17" s="50" t="n">
        <v>55</v>
      </c>
      <c r="E17" s="28" t="n">
        <v>3.8</v>
      </c>
      <c r="F17" s="28" t="n">
        <v>300</v>
      </c>
      <c r="G17" s="28" t="n">
        <v>3.5</v>
      </c>
      <c r="H17" s="28" t="n">
        <v>4</v>
      </c>
      <c r="I17" s="67" t="s">
        <v>264</v>
      </c>
      <c r="J17" s="67" t="s">
        <v>214</v>
      </c>
      <c r="K17" s="50" t="n">
        <v>2000</v>
      </c>
      <c r="L17" s="67" t="s">
        <v>265</v>
      </c>
      <c r="M17" s="77" t="n">
        <f aca="false">$B$5*E17/$B$9*5+$B$6*F17/500*5+$B$7*D17/100*5+$B$8*G17/5*5+$B$9*H17/5*5</f>
        <v>59.225</v>
      </c>
      <c r="N17" s="78" t="n">
        <f aca="false">RANK(M17,$M$13:$M$27,0)</f>
        <v>9</v>
      </c>
    </row>
    <row r="18" customFormat="false" ht="27.75" hidden="false" customHeight="true" outlineLevel="0" collapsed="false">
      <c r="A18" s="68" t="s">
        <v>275</v>
      </c>
      <c r="B18" s="68" t="s">
        <v>276</v>
      </c>
      <c r="C18" s="50" t="n">
        <v>45</v>
      </c>
      <c r="D18" s="50" t="n">
        <v>38</v>
      </c>
      <c r="E18" s="28" t="n">
        <v>4.5</v>
      </c>
      <c r="F18" s="28" t="n">
        <v>280</v>
      </c>
      <c r="G18" s="28" t="n">
        <v>5</v>
      </c>
      <c r="H18" s="28" t="n">
        <v>3.5</v>
      </c>
      <c r="I18" s="69" t="s">
        <v>277</v>
      </c>
      <c r="J18" s="69" t="s">
        <v>214</v>
      </c>
      <c r="K18" s="50" t="n">
        <v>18000</v>
      </c>
      <c r="L18" s="69" t="s">
        <v>265</v>
      </c>
      <c r="M18" s="77" t="n">
        <f aca="false">$B$5*E18/$B$9*5+$B$6*F18/500*5+$B$7*D18/100*5+$B$8*G18/5*5+$B$9*H18/5*5</f>
        <v>69.68</v>
      </c>
      <c r="N18" s="78" t="n">
        <f aca="false">RANK(M18,$M$13:$M$27,0)</f>
        <v>5</v>
      </c>
    </row>
    <row r="19" customFormat="false" ht="27.75" hidden="false" customHeight="true" outlineLevel="0" collapsed="false">
      <c r="A19" s="66" t="s">
        <v>278</v>
      </c>
      <c r="B19" s="66" t="s">
        <v>279</v>
      </c>
      <c r="C19" s="50" t="n">
        <v>65</v>
      </c>
      <c r="D19" s="50" t="n">
        <v>42</v>
      </c>
      <c r="E19" s="28" t="n">
        <v>3.2</v>
      </c>
      <c r="F19" s="28" t="n">
        <v>210</v>
      </c>
      <c r="G19" s="28" t="n">
        <v>4</v>
      </c>
      <c r="H19" s="28" t="n">
        <v>3.8</v>
      </c>
      <c r="I19" s="67" t="s">
        <v>277</v>
      </c>
      <c r="J19" s="67" t="s">
        <v>232</v>
      </c>
      <c r="K19" s="50" t="n">
        <v>500</v>
      </c>
      <c r="L19" s="67" t="s">
        <v>265</v>
      </c>
      <c r="M19" s="77" t="n">
        <f aca="false">$B$5*E19/$B$9*5+$B$6*F19/500*5+$B$7*D19/100*5+$B$8*G19/5*5+$B$9*H19/5*5</f>
        <v>49.925</v>
      </c>
      <c r="N19" s="78" t="n">
        <f aca="false">RANK(M19,$M$13:$M$27,0)</f>
        <v>13</v>
      </c>
    </row>
    <row r="20" customFormat="false" ht="27.75" hidden="false" customHeight="true" outlineLevel="0" collapsed="false">
      <c r="A20" s="68" t="s">
        <v>280</v>
      </c>
      <c r="B20" s="68" t="s">
        <v>281</v>
      </c>
      <c r="C20" s="50" t="n">
        <v>40</v>
      </c>
      <c r="D20" s="50" t="n">
        <v>28</v>
      </c>
      <c r="E20" s="28" t="n">
        <v>3.8</v>
      </c>
      <c r="F20" s="28" t="n">
        <v>180</v>
      </c>
      <c r="G20" s="28" t="n">
        <v>4.2</v>
      </c>
      <c r="H20" s="28" t="n">
        <v>4.2</v>
      </c>
      <c r="I20" s="69" t="s">
        <v>120</v>
      </c>
      <c r="J20" s="69" t="s">
        <v>214</v>
      </c>
      <c r="K20" s="50" t="n">
        <v>15000</v>
      </c>
      <c r="L20" s="69" t="s">
        <v>282</v>
      </c>
      <c r="M20" s="77" t="n">
        <f aca="false">$B$5*E20/$B$9*5+$B$6*F20/500*5+$B$7*D20/100*5+$B$8*G20/5*5+$B$9*H20/5*5</f>
        <v>58.78</v>
      </c>
      <c r="N20" s="78" t="n">
        <f aca="false">RANK(M20,$M$13:$M$27,0)</f>
        <v>10</v>
      </c>
    </row>
    <row r="21" customFormat="false" ht="27.75" hidden="false" customHeight="true" outlineLevel="0" collapsed="false">
      <c r="A21" s="66" t="s">
        <v>283</v>
      </c>
      <c r="B21" s="66" t="s">
        <v>284</v>
      </c>
      <c r="C21" s="50" t="n">
        <v>55</v>
      </c>
      <c r="D21" s="50" t="n">
        <v>48</v>
      </c>
      <c r="E21" s="28" t="n">
        <v>3.5</v>
      </c>
      <c r="F21" s="28" t="n">
        <v>220</v>
      </c>
      <c r="G21" s="28" t="n">
        <v>4.8</v>
      </c>
      <c r="H21" s="28" t="n">
        <v>3.2</v>
      </c>
      <c r="I21" s="67" t="s">
        <v>264</v>
      </c>
      <c r="J21" s="67" t="s">
        <v>232</v>
      </c>
      <c r="K21" s="50" t="n">
        <v>1000</v>
      </c>
      <c r="L21" s="67" t="s">
        <v>282</v>
      </c>
      <c r="M21" s="77" t="n">
        <f aca="false">$B$5*E21/$B$9*5+$B$6*F21/500*5+$B$7*D21/100*5+$B$8*G21/5*5+$B$9*H21/5*5</f>
        <v>54.57</v>
      </c>
      <c r="N21" s="78" t="n">
        <f aca="false">RANK(M21,$M$13:$M$27,0)</f>
        <v>11</v>
      </c>
    </row>
    <row r="22" customFormat="false" ht="27.75" hidden="false" customHeight="true" outlineLevel="0" collapsed="false">
      <c r="A22" s="68" t="s">
        <v>285</v>
      </c>
      <c r="B22" s="68" t="s">
        <v>286</v>
      </c>
      <c r="C22" s="50" t="n">
        <v>22</v>
      </c>
      <c r="D22" s="50" t="n">
        <v>35</v>
      </c>
      <c r="E22" s="28" t="n">
        <v>6.2</v>
      </c>
      <c r="F22" s="28" t="n">
        <v>1100</v>
      </c>
      <c r="G22" s="28" t="n">
        <v>3.8</v>
      </c>
      <c r="H22" s="28" t="n">
        <v>4.5</v>
      </c>
      <c r="I22" s="69" t="s">
        <v>264</v>
      </c>
      <c r="J22" s="69" t="s">
        <v>214</v>
      </c>
      <c r="K22" s="50" t="n">
        <v>0</v>
      </c>
      <c r="L22" s="69" t="s">
        <v>282</v>
      </c>
      <c r="M22" s="77" t="n">
        <f aca="false">$B$5*E22/$B$9*5+$B$6*F22/500*5+$B$7*D22/100*5+$B$8*G22/5*5+$B$9*H22/5*5</f>
        <v>97.12</v>
      </c>
      <c r="N22" s="78" t="n">
        <f aca="false">RANK(M22,$M$13:$M$27,0)</f>
        <v>1</v>
      </c>
    </row>
    <row r="23" customFormat="false" ht="27.75" hidden="false" customHeight="true" outlineLevel="0" collapsed="false">
      <c r="A23" s="66" t="s">
        <v>287</v>
      </c>
      <c r="B23" s="66" t="s">
        <v>272</v>
      </c>
      <c r="C23" s="50" t="n">
        <v>35</v>
      </c>
      <c r="D23" s="50" t="n">
        <v>25</v>
      </c>
      <c r="E23" s="28" t="n">
        <v>3.5</v>
      </c>
      <c r="F23" s="28" t="n">
        <v>250</v>
      </c>
      <c r="G23" s="28" t="n">
        <v>4</v>
      </c>
      <c r="H23" s="28" t="n">
        <v>4</v>
      </c>
      <c r="I23" s="67" t="s">
        <v>120</v>
      </c>
      <c r="J23" s="67" t="s">
        <v>214</v>
      </c>
      <c r="K23" s="50" t="n">
        <v>0</v>
      </c>
      <c r="L23" s="67" t="s">
        <v>282</v>
      </c>
      <c r="M23" s="77" t="n">
        <f aca="false">$B$5*E23/$B$9*5+$B$6*F23/500*5+$B$7*D23/100*5+$B$8*G23/5*5+$B$9*H23/5*5</f>
        <v>54.375</v>
      </c>
      <c r="N23" s="78" t="n">
        <f aca="false">RANK(M23,$M$13:$M$27,0)</f>
        <v>12</v>
      </c>
    </row>
    <row r="24" customFormat="false" ht="27.75" hidden="false" customHeight="true" outlineLevel="0" collapsed="false">
      <c r="A24" s="68" t="s">
        <v>288</v>
      </c>
      <c r="B24" s="68" t="s">
        <v>289</v>
      </c>
      <c r="C24" s="50" t="n">
        <v>80</v>
      </c>
      <c r="D24" s="50" t="n">
        <v>45</v>
      </c>
      <c r="E24" s="28" t="n">
        <v>3.2</v>
      </c>
      <c r="F24" s="28" t="n">
        <v>50</v>
      </c>
      <c r="G24" s="28" t="n">
        <v>3.2</v>
      </c>
      <c r="H24" s="28" t="n">
        <v>3.5</v>
      </c>
      <c r="I24" s="69" t="s">
        <v>264</v>
      </c>
      <c r="J24" s="69" t="s">
        <v>214</v>
      </c>
      <c r="K24" s="50" t="n">
        <v>2500</v>
      </c>
      <c r="L24" s="69" t="s">
        <v>282</v>
      </c>
      <c r="M24" s="77" t="n">
        <f aca="false">$B$5*E24/$B$9*5+$B$6*F24/500*5+$B$7*D24/100*5+$B$8*G24/5*5+$B$9*H24/5*5</f>
        <v>49.405</v>
      </c>
      <c r="N24" s="78" t="n">
        <f aca="false">RANK(M24,$M$13:$M$27,0)</f>
        <v>14</v>
      </c>
    </row>
    <row r="25" customFormat="false" ht="27.75" hidden="false" customHeight="true" outlineLevel="0" collapsed="false">
      <c r="A25" s="66" t="s">
        <v>290</v>
      </c>
      <c r="B25" s="66" t="s">
        <v>279</v>
      </c>
      <c r="C25" s="50" t="n">
        <v>48</v>
      </c>
      <c r="D25" s="50" t="n">
        <v>30</v>
      </c>
      <c r="E25" s="28" t="n">
        <v>2.8</v>
      </c>
      <c r="F25" s="28" t="n">
        <v>180</v>
      </c>
      <c r="G25" s="28" t="n">
        <v>4.5</v>
      </c>
      <c r="H25" s="28" t="n">
        <v>3</v>
      </c>
      <c r="I25" s="67" t="s">
        <v>277</v>
      </c>
      <c r="J25" s="67" t="s">
        <v>232</v>
      </c>
      <c r="K25" s="50" t="n">
        <v>0</v>
      </c>
      <c r="L25" s="67" t="s">
        <v>282</v>
      </c>
      <c r="M25" s="77" t="n">
        <f aca="false">$B$5*E25/$B$9*5+$B$6*F25/500*5+$B$7*D25/100*5+$B$8*G25/5*5+$B$9*H25/5*5</f>
        <v>43.725</v>
      </c>
      <c r="N25" s="78" t="n">
        <f aca="false">RANK(M25,$M$13:$M$27,0)</f>
        <v>15</v>
      </c>
    </row>
    <row r="26" customFormat="false" ht="27.75" hidden="false" customHeight="true" outlineLevel="0" collapsed="false">
      <c r="A26" s="68" t="s">
        <v>291</v>
      </c>
      <c r="B26" s="68" t="s">
        <v>276</v>
      </c>
      <c r="C26" s="50" t="n">
        <v>18</v>
      </c>
      <c r="D26" s="50" t="n">
        <v>22</v>
      </c>
      <c r="E26" s="28" t="n">
        <v>4</v>
      </c>
      <c r="F26" s="28" t="n">
        <v>400</v>
      </c>
      <c r="G26" s="28" t="n">
        <v>5</v>
      </c>
      <c r="H26" s="28" t="n">
        <v>4.8</v>
      </c>
      <c r="I26" s="69" t="s">
        <v>270</v>
      </c>
      <c r="J26" s="69" t="s">
        <v>214</v>
      </c>
      <c r="K26" s="50" t="n">
        <v>32000</v>
      </c>
      <c r="L26" s="69" t="s">
        <v>292</v>
      </c>
      <c r="M26" s="77" t="n">
        <f aca="false">$B$5*E26/$B$9*5+$B$6*F26/500*5+$B$7*D26/100*5+$B$8*G26/5*5+$B$9*H26/5*5</f>
        <v>62.45</v>
      </c>
      <c r="N26" s="78" t="n">
        <f aca="false">RANK(M26,$M$13:$M$27,0)</f>
        <v>7</v>
      </c>
    </row>
    <row r="27" customFormat="false" ht="27.75" hidden="false" customHeight="true" outlineLevel="0" collapsed="false">
      <c r="A27" s="66" t="s">
        <v>293</v>
      </c>
      <c r="B27" s="66" t="s">
        <v>272</v>
      </c>
      <c r="C27" s="50" t="n">
        <v>140</v>
      </c>
      <c r="D27" s="50" t="n">
        <v>60</v>
      </c>
      <c r="E27" s="28" t="n">
        <v>3.8</v>
      </c>
      <c r="F27" s="28" t="n">
        <v>320</v>
      </c>
      <c r="G27" s="28" t="n">
        <v>4.2</v>
      </c>
      <c r="H27" s="28" t="n">
        <v>2.8</v>
      </c>
      <c r="I27" s="67" t="s">
        <v>120</v>
      </c>
      <c r="J27" s="67" t="s">
        <v>214</v>
      </c>
      <c r="K27" s="50" t="n">
        <v>3500</v>
      </c>
      <c r="L27" s="67" t="s">
        <v>292</v>
      </c>
      <c r="M27" s="77" t="n">
        <f aca="false">$B$5*E27/$B$9*5+$B$6*F27/500*5+$B$7*D27/100*5+$B$8*G27/5*5+$B$9*H27/5*5</f>
        <v>59.31</v>
      </c>
      <c r="N27" s="78" t="n">
        <f aca="false">RANK(M27,$M$13:$M$27,0)</f>
        <v>8</v>
      </c>
    </row>
    <row r="28" customFormat="false" ht="27.75" hidden="false" customHeight="true" outlineLevel="0" collapsed="false">
      <c r="A28" s="79" t="s">
        <v>294</v>
      </c>
      <c r="B28" s="79"/>
      <c r="C28" s="80" t="n">
        <f aca="false">SUM(C13:C19)</f>
        <v>865</v>
      </c>
      <c r="D28" s="80" t="n">
        <f aca="false">SUM(D13:D19)</f>
        <v>475</v>
      </c>
      <c r="E28" s="31"/>
      <c r="F28" s="80" t="n">
        <f aca="false">SUM(F13:F19)</f>
        <v>3140</v>
      </c>
      <c r="G28" s="31"/>
      <c r="H28" s="31"/>
      <c r="I28" s="31"/>
      <c r="J28" s="31"/>
      <c r="K28" s="80" t="n">
        <f aca="false">SUM(K13:K19)</f>
        <v>71000</v>
      </c>
      <c r="L28" s="31"/>
      <c r="M28" s="31"/>
      <c r="N28" s="31"/>
    </row>
  </sheetData>
  <mergeCells count="5">
    <mergeCell ref="A1:N1"/>
    <mergeCell ref="A2:N2"/>
    <mergeCell ref="A4:C4"/>
    <mergeCell ref="A11:N11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8" min="6" style="1" width="14"/>
    <col collapsed="false" customWidth="true" hidden="false" outlineLevel="0" max="9" min="9" style="1" width="26"/>
    <col collapsed="false" customWidth="true" hidden="false" outlineLevel="0" max="10" min="10" style="1" width="16"/>
    <col collapsed="false" customWidth="true" hidden="false" outlineLevel="0" max="11" min="11" style="1" width="14"/>
  </cols>
  <sheetData>
    <row r="1" customFormat="false" ht="34.5" hidden="false" customHeight="true" outlineLevel="0" collapsed="false">
      <c r="A1" s="24" t="s">
        <v>295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customFormat="false" ht="15" hidden="false" customHeight="true" outlineLevel="0" collapsed="false">
      <c r="A2" s="23" t="s">
        <v>296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4" customFormat="false" ht="15" hidden="false" customHeight="true" outlineLevel="0" collapsed="false">
      <c r="A4" s="25" t="s">
        <v>297</v>
      </c>
      <c r="B4" s="25"/>
      <c r="C4" s="25"/>
      <c r="E4" s="81" t="s">
        <v>298</v>
      </c>
      <c r="F4" s="81"/>
      <c r="G4" s="81"/>
      <c r="I4" s="82" t="s">
        <v>299</v>
      </c>
      <c r="J4" s="82"/>
      <c r="K4" s="82"/>
    </row>
    <row r="5" customFormat="false" ht="21.75" hidden="false" customHeight="true" outlineLevel="0" collapsed="false">
      <c r="A5" s="73" t="s">
        <v>300</v>
      </c>
      <c r="B5" s="83" t="n">
        <v>500</v>
      </c>
      <c r="D5" s="73" t="s">
        <v>301</v>
      </c>
      <c r="E5" s="84" t="n">
        <f aca="false">B5</f>
        <v>500</v>
      </c>
      <c r="I5" s="73" t="s">
        <v>302</v>
      </c>
      <c r="J5" s="85" t="s">
        <v>303</v>
      </c>
    </row>
    <row r="6" customFormat="false" ht="21.75" hidden="false" customHeight="true" outlineLevel="0" collapsed="false">
      <c r="A6" s="73" t="s">
        <v>304</v>
      </c>
      <c r="B6" s="83" t="n">
        <v>10</v>
      </c>
      <c r="D6" s="73" t="s">
        <v>305</v>
      </c>
      <c r="E6" s="84" t="n">
        <f aca="false">B5*B7</f>
        <v>37.5</v>
      </c>
      <c r="I6" s="73" t="s">
        <v>306</v>
      </c>
      <c r="J6" s="86" t="n">
        <v>485</v>
      </c>
    </row>
    <row r="7" customFormat="false" ht="21.75" hidden="false" customHeight="true" outlineLevel="0" collapsed="false">
      <c r="A7" s="73" t="s">
        <v>307</v>
      </c>
      <c r="B7" s="87" t="n">
        <v>0.075</v>
      </c>
      <c r="D7" s="73" t="s">
        <v>308</v>
      </c>
      <c r="E7" s="84" t="n">
        <f aca="false">B5*B7/2</f>
        <v>18.75</v>
      </c>
      <c r="I7" s="73" t="s">
        <v>309</v>
      </c>
      <c r="J7" s="86" t="n">
        <v>320</v>
      </c>
    </row>
    <row r="8" customFormat="false" ht="21.75" hidden="false" customHeight="true" outlineLevel="0" collapsed="false">
      <c r="A8" s="73" t="s">
        <v>310</v>
      </c>
      <c r="B8" s="83" t="n">
        <v>100</v>
      </c>
      <c r="D8" s="73" t="s">
        <v>311</v>
      </c>
      <c r="E8" s="84" t="n">
        <f aca="false">B5*B7*B6</f>
        <v>375</v>
      </c>
      <c r="I8" s="73" t="s">
        <v>312</v>
      </c>
      <c r="J8" s="86" t="n">
        <v>180</v>
      </c>
    </row>
    <row r="9" customFormat="false" ht="21.75" hidden="false" customHeight="true" outlineLevel="0" collapsed="false">
      <c r="A9" s="73" t="s">
        <v>313</v>
      </c>
      <c r="B9" s="83" t="s">
        <v>214</v>
      </c>
      <c r="D9" s="73" t="s">
        <v>314</v>
      </c>
      <c r="E9" s="84" t="n">
        <f aca="false">E8+B5</f>
        <v>875</v>
      </c>
      <c r="I9" s="73" t="s">
        <v>315</v>
      </c>
      <c r="J9" s="86" t="n">
        <v>95</v>
      </c>
    </row>
    <row r="10" customFormat="false" ht="21.75" hidden="false" customHeight="true" outlineLevel="0" collapsed="false">
      <c r="A10" s="73" t="s">
        <v>316</v>
      </c>
      <c r="B10" s="83" t="n">
        <v>-15</v>
      </c>
      <c r="D10" s="73" t="s">
        <v>317</v>
      </c>
      <c r="E10" s="84" t="n">
        <f aca="false">B7+B10/10000</f>
        <v>0.0735</v>
      </c>
      <c r="I10" s="73" t="s">
        <v>318</v>
      </c>
      <c r="J10" s="88" t="n">
        <f aca="false">J6+J7+J8+J9</f>
        <v>1080</v>
      </c>
    </row>
    <row r="11" customFormat="false" ht="21.75" hidden="false" customHeight="true" outlineLevel="0" collapsed="false">
      <c r="A11" s="73" t="s">
        <v>319</v>
      </c>
      <c r="B11" s="87" t="n">
        <v>0.072</v>
      </c>
      <c r="D11" s="73" t="s">
        <v>320</v>
      </c>
      <c r="E11" s="84" t="s">
        <v>321</v>
      </c>
      <c r="I11" s="73" t="s">
        <v>322</v>
      </c>
      <c r="J11" s="88" t="n">
        <f aca="false">E9/B6</f>
        <v>87.5</v>
      </c>
    </row>
    <row r="12" customFormat="false" ht="21.75" hidden="false" customHeight="true" outlineLevel="0" collapsed="false">
      <c r="A12" s="73" t="s">
        <v>323</v>
      </c>
      <c r="B12" s="83" t="n">
        <v>1.5</v>
      </c>
      <c r="D12" s="73" t="s">
        <v>324</v>
      </c>
      <c r="E12" s="84" t="n">
        <f aca="false">B5*B13*B6</f>
        <v>125</v>
      </c>
      <c r="I12" s="73" t="s">
        <v>325</v>
      </c>
      <c r="J12" s="88" t="n">
        <f aca="false">J10/J11</f>
        <v>12.3428571428571</v>
      </c>
    </row>
    <row r="13" customFormat="false" ht="21.75" hidden="false" customHeight="true" outlineLevel="0" collapsed="false">
      <c r="A13" s="73" t="s">
        <v>326</v>
      </c>
      <c r="B13" s="87" t="n">
        <v>0.025</v>
      </c>
      <c r="D13" s="73" t="s">
        <v>327</v>
      </c>
      <c r="E13" s="84" t="n">
        <f aca="false">B5*B7*B14/12</f>
        <v>18.75</v>
      </c>
      <c r="I13" s="73" t="s">
        <v>328</v>
      </c>
      <c r="J13" s="88" t="n">
        <f aca="false">B5/J10</f>
        <v>0.462962962962963</v>
      </c>
    </row>
    <row r="14" customFormat="false" ht="21.75" hidden="false" customHeight="true" outlineLevel="0" collapsed="false">
      <c r="A14" s="73" t="s">
        <v>329</v>
      </c>
      <c r="B14" s="83" t="n">
        <v>6</v>
      </c>
      <c r="D14" s="73" t="s">
        <v>330</v>
      </c>
      <c r="E14" s="84" t="n">
        <f aca="false">B5-E13-5</f>
        <v>476.25</v>
      </c>
      <c r="I14" s="73" t="s">
        <v>331</v>
      </c>
      <c r="J14" s="88" t="s">
        <v>332</v>
      </c>
    </row>
    <row r="17" customFormat="false" ht="15" hidden="false" customHeight="true" outlineLevel="0" collapsed="false">
      <c r="A17" s="25" t="s">
        <v>333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</row>
    <row r="18" customFormat="false" ht="39.75" hidden="false" customHeight="true" outlineLevel="0" collapsed="false">
      <c r="A18" s="26" t="s">
        <v>334</v>
      </c>
      <c r="B18" s="26" t="s">
        <v>335</v>
      </c>
      <c r="C18" s="26" t="s">
        <v>336</v>
      </c>
      <c r="D18" s="26" t="s">
        <v>337</v>
      </c>
      <c r="E18" s="26" t="s">
        <v>338</v>
      </c>
      <c r="F18" s="26" t="s">
        <v>339</v>
      </c>
      <c r="G18" s="26" t="s">
        <v>340</v>
      </c>
      <c r="H18" s="26" t="s">
        <v>341</v>
      </c>
      <c r="I18" s="26" t="s">
        <v>342</v>
      </c>
      <c r="J18" s="26" t="s">
        <v>343</v>
      </c>
      <c r="K18" s="26" t="s">
        <v>344</v>
      </c>
    </row>
    <row r="19" customFormat="false" ht="21.75" hidden="false" customHeight="true" outlineLevel="0" collapsed="false">
      <c r="A19" s="89" t="n">
        <v>2025</v>
      </c>
      <c r="B19" s="89" t="s">
        <v>345</v>
      </c>
      <c r="C19" s="89" t="n">
        <v>500</v>
      </c>
      <c r="D19" s="89" t="n">
        <f aca="false">B$5*B$7</f>
        <v>37.5</v>
      </c>
      <c r="E19" s="89" t="n">
        <v>0</v>
      </c>
      <c r="F19" s="89" t="n">
        <f aca="false">D19+E19</f>
        <v>37.5</v>
      </c>
      <c r="G19" s="89" t="n">
        <f aca="false">B$5*B$13</f>
        <v>12.5</v>
      </c>
      <c r="H19" s="90" t="n">
        <v>120</v>
      </c>
      <c r="I19" s="89" t="n">
        <f aca="false">SUM(H$19:H19)</f>
        <v>120</v>
      </c>
      <c r="J19" s="90" t="n">
        <v>15</v>
      </c>
      <c r="K19" s="89" t="n">
        <f aca="false">J19-D19-G19</f>
        <v>-35</v>
      </c>
    </row>
    <row r="20" customFormat="false" ht="21.75" hidden="false" customHeight="true" outlineLevel="0" collapsed="false">
      <c r="A20" s="91" t="n">
        <v>2026</v>
      </c>
      <c r="B20" s="91" t="s">
        <v>346</v>
      </c>
      <c r="C20" s="91" t="n">
        <v>500</v>
      </c>
      <c r="D20" s="91" t="n">
        <f aca="false">B$5*B$7</f>
        <v>37.5</v>
      </c>
      <c r="E20" s="91" t="n">
        <v>0</v>
      </c>
      <c r="F20" s="91" t="n">
        <f aca="false">D20+E20</f>
        <v>37.5</v>
      </c>
      <c r="G20" s="91" t="n">
        <f aca="false">B$5*B$13</f>
        <v>12.5</v>
      </c>
      <c r="H20" s="90" t="n">
        <v>100</v>
      </c>
      <c r="I20" s="91" t="n">
        <f aca="false">SUM(H$19:H20)</f>
        <v>220</v>
      </c>
      <c r="J20" s="90" t="n">
        <v>30</v>
      </c>
      <c r="K20" s="91" t="n">
        <f aca="false">J20-D20-G20</f>
        <v>-20</v>
      </c>
    </row>
    <row r="21" customFormat="false" ht="21.75" hidden="false" customHeight="true" outlineLevel="0" collapsed="false">
      <c r="A21" s="89" t="n">
        <v>2027</v>
      </c>
      <c r="B21" s="89" t="s">
        <v>347</v>
      </c>
      <c r="C21" s="89" t="n">
        <v>500</v>
      </c>
      <c r="D21" s="89" t="n">
        <f aca="false">B$5*B$7</f>
        <v>37.5</v>
      </c>
      <c r="E21" s="89" t="n">
        <v>0</v>
      </c>
      <c r="F21" s="89" t="n">
        <f aca="false">D21+E21</f>
        <v>37.5</v>
      </c>
      <c r="G21" s="89" t="n">
        <f aca="false">B$5*B$13</f>
        <v>12.5</v>
      </c>
      <c r="H21" s="90" t="n">
        <v>80</v>
      </c>
      <c r="I21" s="89" t="n">
        <f aca="false">SUM(H$19:H21)</f>
        <v>300</v>
      </c>
      <c r="J21" s="90" t="n">
        <v>50</v>
      </c>
      <c r="K21" s="89" t="n">
        <f aca="false">J21-D21-G21</f>
        <v>0</v>
      </c>
    </row>
    <row r="22" customFormat="false" ht="21.75" hidden="false" customHeight="true" outlineLevel="0" collapsed="false">
      <c r="A22" s="91" t="n">
        <v>2028</v>
      </c>
      <c r="B22" s="91" t="s">
        <v>348</v>
      </c>
      <c r="C22" s="91" t="n">
        <v>500</v>
      </c>
      <c r="D22" s="91" t="n">
        <f aca="false">B$5*B$7</f>
        <v>37.5</v>
      </c>
      <c r="E22" s="91" t="n">
        <v>0</v>
      </c>
      <c r="F22" s="91" t="n">
        <f aca="false">D22+E22</f>
        <v>37.5</v>
      </c>
      <c r="G22" s="91" t="n">
        <f aca="false">B$5*B$13</f>
        <v>12.5</v>
      </c>
      <c r="H22" s="90" t="n">
        <v>60</v>
      </c>
      <c r="I22" s="91" t="n">
        <f aca="false">SUM(H$19:H22)</f>
        <v>360</v>
      </c>
      <c r="J22" s="90" t="n">
        <v>70</v>
      </c>
      <c r="K22" s="91" t="n">
        <f aca="false">J22-D22-G22</f>
        <v>20</v>
      </c>
    </row>
    <row r="23" customFormat="false" ht="21.75" hidden="false" customHeight="true" outlineLevel="0" collapsed="false">
      <c r="A23" s="89" t="n">
        <v>2029</v>
      </c>
      <c r="B23" s="89" t="s">
        <v>349</v>
      </c>
      <c r="C23" s="89" t="n">
        <v>500</v>
      </c>
      <c r="D23" s="89" t="n">
        <f aca="false">B$5*B$7</f>
        <v>37.5</v>
      </c>
      <c r="E23" s="89" t="n">
        <v>0</v>
      </c>
      <c r="F23" s="89" t="n">
        <f aca="false">D23+E23</f>
        <v>37.5</v>
      </c>
      <c r="G23" s="89" t="n">
        <f aca="false">B$5*B$13</f>
        <v>12.5</v>
      </c>
      <c r="H23" s="90" t="n">
        <v>40</v>
      </c>
      <c r="I23" s="89" t="n">
        <f aca="false">SUM(H$19:H23)</f>
        <v>400</v>
      </c>
      <c r="J23" s="90" t="n">
        <v>90</v>
      </c>
      <c r="K23" s="89" t="n">
        <f aca="false">J23-D23-G23</f>
        <v>40</v>
      </c>
    </row>
    <row r="24" customFormat="false" ht="21.75" hidden="false" customHeight="true" outlineLevel="0" collapsed="false">
      <c r="A24" s="91" t="n">
        <v>2030</v>
      </c>
      <c r="B24" s="91" t="s">
        <v>350</v>
      </c>
      <c r="C24" s="91" t="n">
        <v>500</v>
      </c>
      <c r="D24" s="91" t="n">
        <f aca="false">B$5*B$7</f>
        <v>37.5</v>
      </c>
      <c r="E24" s="91" t="n">
        <v>0</v>
      </c>
      <c r="F24" s="91" t="n">
        <f aca="false">D24+E24</f>
        <v>37.5</v>
      </c>
      <c r="G24" s="91" t="n">
        <f aca="false">B$5*B$13</f>
        <v>12.5</v>
      </c>
      <c r="H24" s="90" t="n">
        <v>30</v>
      </c>
      <c r="I24" s="91" t="n">
        <f aca="false">SUM(H$19:H24)</f>
        <v>430</v>
      </c>
      <c r="J24" s="90" t="n">
        <v>100</v>
      </c>
      <c r="K24" s="91" t="n">
        <f aca="false">J24-D24-G24</f>
        <v>50</v>
      </c>
    </row>
    <row r="25" customFormat="false" ht="21.75" hidden="false" customHeight="true" outlineLevel="0" collapsed="false">
      <c r="A25" s="89" t="n">
        <v>2031</v>
      </c>
      <c r="B25" s="89" t="s">
        <v>351</v>
      </c>
      <c r="C25" s="89" t="n">
        <v>500</v>
      </c>
      <c r="D25" s="89" t="n">
        <f aca="false">B$5*B$7</f>
        <v>37.5</v>
      </c>
      <c r="E25" s="89" t="n">
        <v>0</v>
      </c>
      <c r="F25" s="89" t="n">
        <f aca="false">D25+E25</f>
        <v>37.5</v>
      </c>
      <c r="G25" s="89" t="n">
        <f aca="false">B$5*B$13</f>
        <v>12.5</v>
      </c>
      <c r="H25" s="90" t="n">
        <v>20</v>
      </c>
      <c r="I25" s="89" t="n">
        <f aca="false">SUM(H$19:H25)</f>
        <v>450</v>
      </c>
      <c r="J25" s="90" t="n">
        <v>105</v>
      </c>
      <c r="K25" s="89" t="n">
        <f aca="false">J25-D25-G25</f>
        <v>55</v>
      </c>
    </row>
    <row r="26" customFormat="false" ht="21.75" hidden="false" customHeight="true" outlineLevel="0" collapsed="false">
      <c r="A26" s="91" t="n">
        <v>2032</v>
      </c>
      <c r="B26" s="91" t="s">
        <v>352</v>
      </c>
      <c r="C26" s="91" t="n">
        <v>500</v>
      </c>
      <c r="D26" s="91" t="n">
        <f aca="false">B$5*B$7</f>
        <v>37.5</v>
      </c>
      <c r="E26" s="91" t="n">
        <v>0</v>
      </c>
      <c r="F26" s="91" t="n">
        <f aca="false">D26+E26</f>
        <v>37.5</v>
      </c>
      <c r="G26" s="91" t="n">
        <f aca="false">B$5*B$13</f>
        <v>12.5</v>
      </c>
      <c r="H26" s="90" t="n">
        <v>15</v>
      </c>
      <c r="I26" s="91" t="n">
        <f aca="false">SUM(H$19:H26)</f>
        <v>465</v>
      </c>
      <c r="J26" s="90" t="n">
        <v>108</v>
      </c>
      <c r="K26" s="91" t="n">
        <f aca="false">J26-D26-G26</f>
        <v>58</v>
      </c>
    </row>
    <row r="27" customFormat="false" ht="21.75" hidden="false" customHeight="true" outlineLevel="0" collapsed="false">
      <c r="A27" s="89" t="n">
        <v>2033</v>
      </c>
      <c r="B27" s="89" t="s">
        <v>353</v>
      </c>
      <c r="C27" s="89" t="n">
        <v>500</v>
      </c>
      <c r="D27" s="89" t="n">
        <f aca="false">B$5*B$7</f>
        <v>37.5</v>
      </c>
      <c r="E27" s="89" t="n">
        <v>0</v>
      </c>
      <c r="F27" s="89" t="n">
        <f aca="false">D27+E27</f>
        <v>37.5</v>
      </c>
      <c r="G27" s="89" t="n">
        <f aca="false">B$5*B$13</f>
        <v>12.5</v>
      </c>
      <c r="H27" s="90" t="n">
        <v>15</v>
      </c>
      <c r="I27" s="89" t="n">
        <f aca="false">SUM(H$19:H27)</f>
        <v>480</v>
      </c>
      <c r="J27" s="90" t="n">
        <v>108</v>
      </c>
      <c r="K27" s="89" t="n">
        <f aca="false">J27-D27-G27</f>
        <v>58</v>
      </c>
    </row>
    <row r="28" customFormat="false" ht="21.75" hidden="false" customHeight="true" outlineLevel="0" collapsed="false">
      <c r="A28" s="91" t="n">
        <v>2034</v>
      </c>
      <c r="B28" s="91" t="s">
        <v>354</v>
      </c>
      <c r="C28" s="91" t="n">
        <v>500</v>
      </c>
      <c r="D28" s="91" t="n">
        <f aca="false">B$5*B$7</f>
        <v>37.5</v>
      </c>
      <c r="E28" s="91" t="n">
        <v>500</v>
      </c>
      <c r="F28" s="91" t="n">
        <f aca="false">D28+E28</f>
        <v>537.5</v>
      </c>
      <c r="G28" s="91" t="n">
        <f aca="false">B$5*B$13</f>
        <v>12.5</v>
      </c>
      <c r="H28" s="90" t="n">
        <v>20</v>
      </c>
      <c r="I28" s="91" t="n">
        <f aca="false">SUM(H$19:H28)</f>
        <v>500</v>
      </c>
      <c r="J28" s="90" t="n">
        <v>108</v>
      </c>
      <c r="K28" s="91" t="n">
        <f aca="false">J28-D28-G28</f>
        <v>58</v>
      </c>
    </row>
    <row r="29" customFormat="false" ht="24" hidden="false" customHeight="true" outlineLevel="0" collapsed="false">
      <c r="A29" s="79" t="s">
        <v>355</v>
      </c>
      <c r="B29" s="31"/>
      <c r="C29" s="31"/>
      <c r="D29" s="92" t="n">
        <f aca="false">SUM(D19:D28)</f>
        <v>375</v>
      </c>
      <c r="E29" s="92" t="n">
        <f aca="false">SUM(E19:E28)</f>
        <v>500</v>
      </c>
      <c r="F29" s="92" t="n">
        <f aca="false">SUM(F19:F28)</f>
        <v>875</v>
      </c>
      <c r="G29" s="92" t="n">
        <f aca="false">SUM(G19:G28)</f>
        <v>125</v>
      </c>
      <c r="H29" s="92" t="n">
        <f aca="false">SUM(H19:H28)</f>
        <v>500</v>
      </c>
      <c r="I29" s="31"/>
      <c r="J29" s="92" t="n">
        <f aca="false">SUM(J19:J28)</f>
        <v>784</v>
      </c>
      <c r="K29" s="92" t="n">
        <f aca="false">SUM(K19:K28)</f>
        <v>284</v>
      </c>
    </row>
    <row r="31" customFormat="false" ht="15" hidden="false" customHeight="true" outlineLevel="0" collapsed="false">
      <c r="A31" s="81" t="s">
        <v>356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</row>
    <row r="32" customFormat="false" ht="21.75" hidden="false" customHeight="true" outlineLevel="0" collapsed="false">
      <c r="A32" s="73" t="s">
        <v>357</v>
      </c>
      <c r="B32" s="93" t="n">
        <f aca="false">B7-B10/10000</f>
        <v>0.0765</v>
      </c>
    </row>
    <row r="33" customFormat="false" ht="21.75" hidden="false" customHeight="true" outlineLevel="0" collapsed="false">
      <c r="A33" s="73" t="s">
        <v>358</v>
      </c>
      <c r="B33" s="94" t="n">
        <f aca="false">B7*(1-0.3)</f>
        <v>0.0525</v>
      </c>
    </row>
    <row r="34" customFormat="false" ht="21.75" hidden="false" customHeight="true" outlineLevel="0" collapsed="false">
      <c r="A34" s="73" t="s">
        <v>359</v>
      </c>
      <c r="B34" s="94" t="n">
        <f aca="false">B7*(1-0.2)</f>
        <v>0.06</v>
      </c>
    </row>
    <row r="35" customFormat="false" ht="21.75" hidden="false" customHeight="true" outlineLevel="0" collapsed="false">
      <c r="A35" s="73" t="s">
        <v>360</v>
      </c>
      <c r="B35" s="94" t="n">
        <f aca="false">B11</f>
        <v>0.072</v>
      </c>
    </row>
    <row r="36" customFormat="false" ht="21.75" hidden="false" customHeight="true" outlineLevel="0" collapsed="false">
      <c r="A36" s="73" t="s">
        <v>316</v>
      </c>
      <c r="B36" s="95" t="n">
        <f aca="false">B10</f>
        <v>-15</v>
      </c>
    </row>
    <row r="37" customFormat="false" ht="21.75" hidden="false" customHeight="true" outlineLevel="0" collapsed="false">
      <c r="A37" s="73" t="s">
        <v>361</v>
      </c>
      <c r="B37" s="96" t="s">
        <v>362</v>
      </c>
    </row>
    <row r="38" customFormat="false" ht="21.75" hidden="false" customHeight="true" outlineLevel="0" collapsed="false">
      <c r="A38" s="73" t="s">
        <v>363</v>
      </c>
      <c r="B38" s="96" t="s">
        <v>364</v>
      </c>
    </row>
    <row r="39" customFormat="false" ht="21.75" hidden="false" customHeight="true" outlineLevel="0" collapsed="false">
      <c r="A39" s="73" t="s">
        <v>365</v>
      </c>
      <c r="B39" s="95" t="s">
        <v>366</v>
      </c>
    </row>
    <row r="40" customFormat="false" ht="21.75" hidden="false" customHeight="true" outlineLevel="0" collapsed="false">
      <c r="A40" s="73" t="s">
        <v>367</v>
      </c>
      <c r="B40" s="96" t="s">
        <v>368</v>
      </c>
    </row>
    <row r="41" customFormat="false" ht="21.75" hidden="false" customHeight="true" outlineLevel="0" collapsed="false">
      <c r="A41" s="73" t="s">
        <v>369</v>
      </c>
      <c r="B41" s="96" t="s">
        <v>370</v>
      </c>
    </row>
  </sheetData>
  <mergeCells count="7">
    <mergeCell ref="A1:K1"/>
    <mergeCell ref="A2:K2"/>
    <mergeCell ref="A4:C4"/>
    <mergeCell ref="E4:G4"/>
    <mergeCell ref="I4:K4"/>
    <mergeCell ref="A17:K17"/>
    <mergeCell ref="A31:K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2"/>
    <col collapsed="false" customWidth="true" hidden="false" outlineLevel="0" max="6" min="3" style="1" width="14"/>
    <col collapsed="false" customWidth="true" hidden="false" outlineLevel="0" max="7" min="7" style="1" width="18"/>
    <col collapsed="false" customWidth="true" hidden="false" outlineLevel="0" max="8" min="8" style="1" width="30"/>
    <col collapsed="false" customWidth="true" hidden="false" outlineLevel="0" max="9" min="9" style="1" width="16"/>
    <col collapsed="false" customWidth="true" hidden="false" outlineLevel="0" max="10" min="10" style="1" width="22"/>
  </cols>
  <sheetData>
    <row r="1" customFormat="false" ht="34.5" hidden="false" customHeight="true" outlineLevel="0" collapsed="false">
      <c r="A1" s="24" t="s">
        <v>371</v>
      </c>
      <c r="B1" s="24"/>
      <c r="C1" s="24"/>
      <c r="D1" s="24"/>
      <c r="E1" s="24"/>
      <c r="F1" s="24"/>
      <c r="G1" s="24"/>
      <c r="H1" s="24"/>
      <c r="I1" s="24"/>
      <c r="J1" s="24"/>
    </row>
    <row r="2" customFormat="false" ht="15" hidden="false" customHeight="true" outlineLevel="0" collapsed="false">
      <c r="A2" s="23" t="s">
        <v>372</v>
      </c>
      <c r="B2" s="23"/>
      <c r="C2" s="23"/>
      <c r="D2" s="23"/>
      <c r="E2" s="23"/>
      <c r="F2" s="23"/>
      <c r="G2" s="23"/>
      <c r="H2" s="23"/>
      <c r="I2" s="23"/>
      <c r="J2" s="23"/>
    </row>
    <row r="4" customFormat="false" ht="15" hidden="false" customHeight="true" outlineLevel="0" collapsed="false">
      <c r="A4" s="25" t="s">
        <v>373</v>
      </c>
      <c r="B4" s="25"/>
      <c r="C4" s="25"/>
      <c r="D4" s="25"/>
      <c r="E4" s="25"/>
      <c r="F4" s="25"/>
      <c r="G4" s="25"/>
      <c r="H4" s="25"/>
      <c r="I4" s="25"/>
      <c r="J4" s="25"/>
    </row>
    <row r="5" customFormat="false" ht="39.75" hidden="false" customHeight="true" outlineLevel="0" collapsed="false">
      <c r="A5" s="26" t="s">
        <v>374</v>
      </c>
      <c r="B5" s="26" t="s">
        <v>40</v>
      </c>
      <c r="C5" s="26" t="s">
        <v>42</v>
      </c>
      <c r="D5" s="26" t="s">
        <v>375</v>
      </c>
      <c r="E5" s="26" t="s">
        <v>376</v>
      </c>
      <c r="F5" s="26" t="s">
        <v>377</v>
      </c>
      <c r="G5" s="26" t="s">
        <v>378</v>
      </c>
      <c r="H5" s="26" t="s">
        <v>379</v>
      </c>
      <c r="I5" s="26" t="s">
        <v>380</v>
      </c>
      <c r="J5" s="26" t="s">
        <v>381</v>
      </c>
    </row>
    <row r="6" customFormat="false" ht="25.5" hidden="false" customHeight="true" outlineLevel="0" collapsed="false">
      <c r="A6" s="97" t="s">
        <v>382</v>
      </c>
      <c r="B6" s="97" t="s">
        <v>383</v>
      </c>
      <c r="C6" s="28" t="n">
        <v>180000</v>
      </c>
      <c r="D6" s="28" t="n">
        <v>280000</v>
      </c>
      <c r="E6" s="28" t="n">
        <v>450000</v>
      </c>
      <c r="F6" s="28" t="n">
        <v>680000</v>
      </c>
      <c r="G6" s="98" t="s">
        <v>384</v>
      </c>
      <c r="H6" s="98" t="s">
        <v>385</v>
      </c>
      <c r="I6" s="98" t="s">
        <v>386</v>
      </c>
      <c r="J6" s="98" t="s">
        <v>387</v>
      </c>
    </row>
    <row r="7" customFormat="false" ht="25.5" hidden="false" customHeight="true" outlineLevel="0" collapsed="false">
      <c r="A7" s="97" t="s">
        <v>382</v>
      </c>
      <c r="B7" s="97" t="s">
        <v>388</v>
      </c>
      <c r="C7" s="28" t="n">
        <v>35</v>
      </c>
      <c r="D7" s="28" t="n">
        <v>52</v>
      </c>
      <c r="E7" s="28" t="n">
        <v>68</v>
      </c>
      <c r="F7" s="28" t="n">
        <v>85</v>
      </c>
      <c r="G7" s="98" t="s">
        <v>389</v>
      </c>
      <c r="H7" s="98" t="s">
        <v>390</v>
      </c>
      <c r="I7" s="98" t="s">
        <v>386</v>
      </c>
      <c r="J7" s="98" t="s">
        <v>391</v>
      </c>
    </row>
    <row r="8" customFormat="false" ht="25.5" hidden="false" customHeight="true" outlineLevel="0" collapsed="false">
      <c r="A8" s="97" t="s">
        <v>382</v>
      </c>
      <c r="B8" s="97" t="s">
        <v>392</v>
      </c>
      <c r="C8" s="28" t="n">
        <v>0</v>
      </c>
      <c r="D8" s="28" t="n">
        <v>65</v>
      </c>
      <c r="E8" s="28" t="n">
        <v>110</v>
      </c>
      <c r="F8" s="28" t="n">
        <v>180</v>
      </c>
      <c r="G8" s="98" t="s">
        <v>393</v>
      </c>
      <c r="H8" s="98" t="s">
        <v>394</v>
      </c>
      <c r="I8" s="98" t="s">
        <v>386</v>
      </c>
      <c r="J8" s="98" t="s">
        <v>395</v>
      </c>
    </row>
    <row r="9" customFormat="false" ht="25.5" hidden="false" customHeight="true" outlineLevel="0" collapsed="false">
      <c r="A9" s="97" t="s">
        <v>382</v>
      </c>
      <c r="B9" s="97" t="s">
        <v>396</v>
      </c>
      <c r="C9" s="28" t="n">
        <v>0</v>
      </c>
      <c r="D9" s="28" t="n">
        <v>2.5</v>
      </c>
      <c r="E9" s="28" t="n">
        <v>5</v>
      </c>
      <c r="F9" s="28" t="n">
        <v>7.5</v>
      </c>
      <c r="G9" s="98" t="s">
        <v>397</v>
      </c>
      <c r="H9" s="98" t="s">
        <v>398</v>
      </c>
      <c r="I9" s="98" t="s">
        <v>386</v>
      </c>
      <c r="J9" s="98" t="s">
        <v>399</v>
      </c>
    </row>
    <row r="10" customFormat="false" ht="25.5" hidden="false" customHeight="true" outlineLevel="0" collapsed="false">
      <c r="A10" s="97" t="s">
        <v>382</v>
      </c>
      <c r="B10" s="97" t="s">
        <v>400</v>
      </c>
      <c r="C10" s="28" t="n">
        <v>40</v>
      </c>
      <c r="D10" s="28" t="n">
        <v>75</v>
      </c>
      <c r="E10" s="28" t="n">
        <v>95</v>
      </c>
      <c r="F10" s="28" t="n">
        <v>98</v>
      </c>
      <c r="G10" s="98" t="s">
        <v>401</v>
      </c>
      <c r="H10" s="98" t="s">
        <v>402</v>
      </c>
      <c r="I10" s="98" t="s">
        <v>403</v>
      </c>
      <c r="J10" s="98" t="s">
        <v>404</v>
      </c>
    </row>
    <row r="11" customFormat="false" ht="25.5" hidden="false" customHeight="true" outlineLevel="0" collapsed="false">
      <c r="A11" s="99" t="s">
        <v>405</v>
      </c>
      <c r="B11" s="99" t="s">
        <v>406</v>
      </c>
      <c r="C11" s="28" t="n">
        <v>0</v>
      </c>
      <c r="D11" s="28" t="n">
        <v>-0.5</v>
      </c>
      <c r="E11" s="28" t="n">
        <v>-1.2</v>
      </c>
      <c r="F11" s="28" t="n">
        <v>-2</v>
      </c>
      <c r="G11" s="100" t="s">
        <v>407</v>
      </c>
      <c r="H11" s="100" t="s">
        <v>408</v>
      </c>
      <c r="I11" s="100" t="s">
        <v>386</v>
      </c>
      <c r="J11" s="100" t="s">
        <v>409</v>
      </c>
    </row>
    <row r="12" customFormat="false" ht="25.5" hidden="false" customHeight="true" outlineLevel="0" collapsed="false">
      <c r="A12" s="99" t="s">
        <v>405</v>
      </c>
      <c r="B12" s="99" t="s">
        <v>410</v>
      </c>
      <c r="C12" s="28" t="n">
        <v>8.2</v>
      </c>
      <c r="D12" s="28" t="n">
        <v>10.5</v>
      </c>
      <c r="E12" s="28" t="n">
        <v>13</v>
      </c>
      <c r="F12" s="28" t="n">
        <v>18</v>
      </c>
      <c r="G12" s="100" t="s">
        <v>389</v>
      </c>
      <c r="H12" s="100" t="s">
        <v>411</v>
      </c>
      <c r="I12" s="100" t="s">
        <v>386</v>
      </c>
      <c r="J12" s="100" t="s">
        <v>412</v>
      </c>
    </row>
    <row r="13" customFormat="false" ht="25.5" hidden="false" customHeight="true" outlineLevel="0" collapsed="false">
      <c r="A13" s="99" t="s">
        <v>405</v>
      </c>
      <c r="B13" s="99" t="s">
        <v>413</v>
      </c>
      <c r="C13" s="28" t="n">
        <v>0</v>
      </c>
      <c r="D13" s="28" t="n">
        <v>-15</v>
      </c>
      <c r="E13" s="28" t="n">
        <v>-35</v>
      </c>
      <c r="F13" s="28" t="n">
        <v>-55</v>
      </c>
      <c r="G13" s="100" t="s">
        <v>414</v>
      </c>
      <c r="H13" s="100" t="s">
        <v>415</v>
      </c>
      <c r="I13" s="100" t="s">
        <v>386</v>
      </c>
      <c r="J13" s="100" t="s">
        <v>416</v>
      </c>
    </row>
    <row r="14" customFormat="false" ht="25.5" hidden="false" customHeight="true" outlineLevel="0" collapsed="false">
      <c r="A14" s="99" t="s">
        <v>405</v>
      </c>
      <c r="B14" s="99" t="s">
        <v>417</v>
      </c>
      <c r="C14" s="28" t="n">
        <v>0</v>
      </c>
      <c r="D14" s="28" t="n">
        <v>8</v>
      </c>
      <c r="E14" s="28" t="n">
        <v>20</v>
      </c>
      <c r="F14" s="28" t="n">
        <v>35</v>
      </c>
      <c r="G14" s="100" t="s">
        <v>418</v>
      </c>
      <c r="H14" s="100" t="s">
        <v>419</v>
      </c>
      <c r="I14" s="100" t="s">
        <v>386</v>
      </c>
      <c r="J14" s="100" t="s">
        <v>420</v>
      </c>
    </row>
    <row r="15" customFormat="false" ht="25.5" hidden="false" customHeight="true" outlineLevel="0" collapsed="false">
      <c r="A15" s="101" t="s">
        <v>421</v>
      </c>
      <c r="B15" s="101" t="s">
        <v>422</v>
      </c>
      <c r="C15" s="28" t="n">
        <v>135</v>
      </c>
      <c r="D15" s="28" t="n">
        <v>155</v>
      </c>
      <c r="E15" s="28" t="n">
        <v>175</v>
      </c>
      <c r="F15" s="28" t="n">
        <v>200</v>
      </c>
      <c r="G15" s="102" t="s">
        <v>423</v>
      </c>
      <c r="H15" s="102" t="s">
        <v>424</v>
      </c>
      <c r="I15" s="102" t="s">
        <v>386</v>
      </c>
      <c r="J15" s="102" t="s">
        <v>425</v>
      </c>
    </row>
    <row r="16" customFormat="false" ht="25.5" hidden="false" customHeight="true" outlineLevel="0" collapsed="false">
      <c r="A16" s="101" t="s">
        <v>421</v>
      </c>
      <c r="B16" s="101" t="s">
        <v>426</v>
      </c>
      <c r="C16" s="28" t="n">
        <v>12</v>
      </c>
      <c r="D16" s="28" t="n">
        <v>35</v>
      </c>
      <c r="E16" s="28" t="n">
        <v>65</v>
      </c>
      <c r="F16" s="28" t="n">
        <v>100</v>
      </c>
      <c r="G16" s="102" t="s">
        <v>427</v>
      </c>
      <c r="H16" s="102" t="s">
        <v>428</v>
      </c>
      <c r="I16" s="102" t="s">
        <v>386</v>
      </c>
      <c r="J16" s="102" t="s">
        <v>429</v>
      </c>
    </row>
    <row r="17" customFormat="false" ht="25.5" hidden="false" customHeight="true" outlineLevel="0" collapsed="false">
      <c r="A17" s="101" t="s">
        <v>421</v>
      </c>
      <c r="B17" s="101" t="s">
        <v>430</v>
      </c>
      <c r="C17" s="28" t="n">
        <v>38</v>
      </c>
      <c r="D17" s="28" t="n">
        <v>32</v>
      </c>
      <c r="E17" s="28" t="n">
        <v>26</v>
      </c>
      <c r="F17" s="28" t="n">
        <v>20</v>
      </c>
      <c r="G17" s="102" t="s">
        <v>431</v>
      </c>
      <c r="H17" s="102" t="s">
        <v>432</v>
      </c>
      <c r="I17" s="102" t="s">
        <v>386</v>
      </c>
      <c r="J17" s="102" t="s">
        <v>433</v>
      </c>
    </row>
    <row r="18" customFormat="false" ht="25.5" hidden="false" customHeight="true" outlineLevel="0" collapsed="false">
      <c r="A18" s="101" t="s">
        <v>421</v>
      </c>
      <c r="B18" s="101" t="s">
        <v>434</v>
      </c>
      <c r="C18" s="28" t="n">
        <v>0</v>
      </c>
      <c r="D18" s="28" t="n">
        <v>12</v>
      </c>
      <c r="E18" s="28" t="n">
        <v>28</v>
      </c>
      <c r="F18" s="28" t="n">
        <v>50</v>
      </c>
      <c r="G18" s="102" t="s">
        <v>435</v>
      </c>
      <c r="H18" s="102" t="s">
        <v>436</v>
      </c>
      <c r="I18" s="102" t="s">
        <v>386</v>
      </c>
      <c r="J18" s="102" t="s">
        <v>437</v>
      </c>
    </row>
    <row r="19" customFormat="false" ht="25.5" hidden="false" customHeight="true" outlineLevel="0" collapsed="false">
      <c r="A19" s="103" t="s">
        <v>438</v>
      </c>
      <c r="B19" s="103" t="s">
        <v>439</v>
      </c>
      <c r="C19" s="28" t="n">
        <v>0</v>
      </c>
      <c r="D19" s="28" t="n">
        <v>8000</v>
      </c>
      <c r="E19" s="28" t="n">
        <v>20000</v>
      </c>
      <c r="F19" s="28" t="n">
        <v>35000</v>
      </c>
      <c r="G19" s="104" t="s">
        <v>440</v>
      </c>
      <c r="H19" s="104" t="s">
        <v>441</v>
      </c>
      <c r="I19" s="104" t="s">
        <v>386</v>
      </c>
      <c r="J19" s="104" t="s">
        <v>442</v>
      </c>
    </row>
    <row r="20" customFormat="false" ht="25.5" hidden="false" customHeight="true" outlineLevel="0" collapsed="false">
      <c r="A20" s="103" t="s">
        <v>438</v>
      </c>
      <c r="B20" s="103" t="s">
        <v>443</v>
      </c>
      <c r="C20" s="28" t="n">
        <v>0</v>
      </c>
      <c r="D20" s="28" t="n">
        <v>12</v>
      </c>
      <c r="E20" s="28" t="n">
        <v>30</v>
      </c>
      <c r="F20" s="28" t="n">
        <v>50</v>
      </c>
      <c r="G20" s="104" t="s">
        <v>444</v>
      </c>
      <c r="H20" s="104" t="s">
        <v>445</v>
      </c>
      <c r="I20" s="104" t="s">
        <v>386</v>
      </c>
      <c r="J20" s="104" t="s">
        <v>446</v>
      </c>
    </row>
    <row r="21" customFormat="false" ht="25.5" hidden="false" customHeight="true" outlineLevel="0" collapsed="false">
      <c r="A21" s="103" t="s">
        <v>438</v>
      </c>
      <c r="B21" s="103" t="s">
        <v>447</v>
      </c>
      <c r="C21" s="28" t="n">
        <v>62</v>
      </c>
      <c r="D21" s="28" t="n">
        <v>72</v>
      </c>
      <c r="E21" s="28" t="n">
        <v>85</v>
      </c>
      <c r="F21" s="28" t="n">
        <v>95</v>
      </c>
      <c r="G21" s="104" t="s">
        <v>448</v>
      </c>
      <c r="H21" s="104" t="s">
        <v>449</v>
      </c>
      <c r="I21" s="104" t="s">
        <v>450</v>
      </c>
      <c r="J21" s="104" t="s">
        <v>451</v>
      </c>
    </row>
    <row r="22" customFormat="false" ht="25.5" hidden="false" customHeight="true" outlineLevel="0" collapsed="false">
      <c r="A22" s="105" t="s">
        <v>452</v>
      </c>
      <c r="B22" s="105" t="s">
        <v>453</v>
      </c>
      <c r="C22" s="28" t="n">
        <v>0</v>
      </c>
      <c r="D22" s="28" t="n">
        <v>8000</v>
      </c>
      <c r="E22" s="28" t="n">
        <v>22000</v>
      </c>
      <c r="F22" s="28" t="n">
        <v>45000</v>
      </c>
      <c r="G22" s="106" t="s">
        <v>454</v>
      </c>
      <c r="H22" s="106" t="s">
        <v>455</v>
      </c>
      <c r="I22" s="106" t="s">
        <v>386</v>
      </c>
      <c r="J22" s="106" t="s">
        <v>456</v>
      </c>
    </row>
    <row r="23" customFormat="false" ht="25.5" hidden="false" customHeight="true" outlineLevel="0" collapsed="false">
      <c r="A23" s="105" t="s">
        <v>452</v>
      </c>
      <c r="B23" s="105" t="s">
        <v>457</v>
      </c>
      <c r="C23" s="28" t="n">
        <v>0</v>
      </c>
      <c r="D23" s="28" t="n">
        <v>85</v>
      </c>
      <c r="E23" s="28" t="n">
        <v>220</v>
      </c>
      <c r="F23" s="28" t="n">
        <v>400</v>
      </c>
      <c r="G23" s="106" t="s">
        <v>458</v>
      </c>
      <c r="H23" s="106" t="s">
        <v>459</v>
      </c>
      <c r="I23" s="106" t="s">
        <v>386</v>
      </c>
      <c r="J23" s="106" t="s">
        <v>460</v>
      </c>
    </row>
    <row r="24" customFormat="false" ht="25.5" hidden="false" customHeight="true" outlineLevel="0" collapsed="false">
      <c r="A24" s="105" t="s">
        <v>452</v>
      </c>
      <c r="B24" s="105" t="s">
        <v>461</v>
      </c>
      <c r="C24" s="28" t="n">
        <v>0</v>
      </c>
      <c r="D24" s="28" t="n">
        <v>5</v>
      </c>
      <c r="E24" s="28" t="n">
        <v>12</v>
      </c>
      <c r="F24" s="28" t="n">
        <v>20</v>
      </c>
      <c r="G24" s="106" t="s">
        <v>462</v>
      </c>
      <c r="H24" s="106" t="s">
        <v>463</v>
      </c>
      <c r="I24" s="106" t="s">
        <v>386</v>
      </c>
      <c r="J24" s="106" t="s">
        <v>464</v>
      </c>
    </row>
    <row r="25" customFormat="false" ht="25.5" hidden="false" customHeight="true" outlineLevel="0" collapsed="false">
      <c r="A25" s="107" t="s">
        <v>465</v>
      </c>
      <c r="B25" s="107" t="s">
        <v>466</v>
      </c>
      <c r="C25" s="28" t="n">
        <v>0</v>
      </c>
      <c r="D25" s="28" t="n">
        <v>60</v>
      </c>
      <c r="E25" s="28" t="n">
        <v>100</v>
      </c>
      <c r="F25" s="28" t="n">
        <v>100</v>
      </c>
      <c r="G25" s="108" t="s">
        <v>467</v>
      </c>
      <c r="H25" s="108" t="s">
        <v>468</v>
      </c>
      <c r="I25" s="108" t="s">
        <v>469</v>
      </c>
      <c r="J25" s="108" t="s">
        <v>470</v>
      </c>
    </row>
    <row r="26" customFormat="false" ht="25.5" hidden="false" customHeight="true" outlineLevel="0" collapsed="false">
      <c r="A26" s="107" t="s">
        <v>465</v>
      </c>
      <c r="B26" s="107" t="s">
        <v>471</v>
      </c>
      <c r="C26" s="28" t="n">
        <v>0</v>
      </c>
      <c r="D26" s="28" t="n">
        <v>45</v>
      </c>
      <c r="E26" s="28" t="n">
        <v>110</v>
      </c>
      <c r="F26" s="28" t="n">
        <v>200</v>
      </c>
      <c r="G26" s="108" t="s">
        <v>393</v>
      </c>
      <c r="H26" s="108" t="s">
        <v>472</v>
      </c>
      <c r="I26" s="108" t="s">
        <v>386</v>
      </c>
      <c r="J26" s="108" t="s">
        <v>473</v>
      </c>
    </row>
    <row r="27" customFormat="false" ht="25.5" hidden="false" customHeight="true" outlineLevel="0" collapsed="false">
      <c r="A27" s="107" t="s">
        <v>465</v>
      </c>
      <c r="B27" s="107" t="s">
        <v>474</v>
      </c>
      <c r="C27" s="28" t="n">
        <v>0</v>
      </c>
      <c r="D27" s="28" t="n">
        <v>2.5</v>
      </c>
      <c r="E27" s="28" t="n">
        <v>3.8</v>
      </c>
      <c r="F27" s="28" t="n">
        <v>5</v>
      </c>
      <c r="G27" s="108" t="s">
        <v>475</v>
      </c>
      <c r="H27" s="108" t="s">
        <v>476</v>
      </c>
      <c r="I27" s="108" t="s">
        <v>386</v>
      </c>
      <c r="J27" s="108" t="s">
        <v>477</v>
      </c>
    </row>
    <row r="30" customFormat="false" ht="15" hidden="false" customHeight="true" outlineLevel="0" collapsed="false">
      <c r="A30" s="109" t="s">
        <v>478</v>
      </c>
      <c r="B30" s="109"/>
      <c r="C30" s="109"/>
      <c r="D30" s="109"/>
      <c r="E30" s="109"/>
      <c r="F30" s="109"/>
      <c r="G30" s="109"/>
      <c r="H30" s="109"/>
      <c r="I30" s="109"/>
      <c r="J30" s="109"/>
    </row>
    <row r="31" customFormat="false" ht="15" hidden="false" customHeight="true" outlineLevel="0" collapsed="false">
      <c r="A31" s="44" t="s">
        <v>479</v>
      </c>
      <c r="B31" s="44" t="s">
        <v>480</v>
      </c>
      <c r="C31" s="44" t="s">
        <v>481</v>
      </c>
      <c r="D31" s="44" t="s">
        <v>482</v>
      </c>
    </row>
    <row r="32" customFormat="false" ht="27.75" hidden="false" customHeight="true" outlineLevel="0" collapsed="false">
      <c r="A32" s="110" t="s">
        <v>483</v>
      </c>
      <c r="B32" s="110" t="s">
        <v>484</v>
      </c>
      <c r="C32" s="110" t="s">
        <v>485</v>
      </c>
      <c r="D32" s="110" t="s">
        <v>486</v>
      </c>
    </row>
    <row r="33" customFormat="false" ht="27.75" hidden="false" customHeight="true" outlineLevel="0" collapsed="false">
      <c r="A33" s="111" t="s">
        <v>487</v>
      </c>
      <c r="B33" s="111" t="s">
        <v>488</v>
      </c>
      <c r="C33" s="111" t="s">
        <v>489</v>
      </c>
      <c r="D33" s="111" t="s">
        <v>490</v>
      </c>
    </row>
    <row r="34" customFormat="false" ht="27.75" hidden="false" customHeight="true" outlineLevel="0" collapsed="false">
      <c r="A34" s="110" t="s">
        <v>491</v>
      </c>
      <c r="B34" s="110" t="s">
        <v>492</v>
      </c>
      <c r="C34" s="110" t="s">
        <v>493</v>
      </c>
      <c r="D34" s="110" t="s">
        <v>494</v>
      </c>
    </row>
    <row r="35" customFormat="false" ht="27.75" hidden="false" customHeight="true" outlineLevel="0" collapsed="false">
      <c r="A35" s="111" t="s">
        <v>495</v>
      </c>
      <c r="B35" s="111" t="s">
        <v>496</v>
      </c>
      <c r="C35" s="111" t="s">
        <v>497</v>
      </c>
      <c r="D35" s="111" t="s">
        <v>498</v>
      </c>
    </row>
    <row r="36" customFormat="false" ht="27.75" hidden="false" customHeight="true" outlineLevel="0" collapsed="false">
      <c r="A36" s="110" t="s">
        <v>499</v>
      </c>
      <c r="B36" s="110" t="s">
        <v>500</v>
      </c>
      <c r="C36" s="110" t="s">
        <v>501</v>
      </c>
      <c r="D36" s="110" t="s">
        <v>502</v>
      </c>
    </row>
  </sheetData>
  <mergeCells count="4">
    <mergeCell ref="A1:J1"/>
    <mergeCell ref="A2:J2"/>
    <mergeCell ref="A4:J4"/>
    <mergeCell ref="A30:J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2026-03-24T17:07:40Z</dcterms:created>
  <dc:creator>openpyxl</dc:creator>
  <dc:description/>
  <dc:language>en-US</dc:language>
  <cp:lastModifiedBy/>
  <dcterms:modified xsi:type="dcterms:W3CDTF">2026-03-24T17:08:08Z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