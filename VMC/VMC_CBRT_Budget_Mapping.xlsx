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uild\Desktop\Desktop files\ESG works\Materials\ESG End to end series\End to end ESG series\Youtube Post\Climate Risk\CBRT\"/>
    </mc:Choice>
  </mc:AlternateContent>
  <xr:revisionPtr revIDLastSave="0" documentId="13_ncr:1_{7B6895D8-19A9-4810-9EF6-0098A67C0443}" xr6:coauthVersionLast="47" xr6:coauthVersionMax="47" xr10:uidLastSave="{00000000-0000-0000-0000-000000000000}"/>
  <bookViews>
    <workbookView xWindow="-120" yWindow="-120" windowWidth="20730" windowHeight="11040" tabRatio="500" firstSheet="1" activeTab="1" xr2:uid="{00000000-000D-0000-FFFF-FFFF00000000}"/>
  </bookViews>
  <sheets>
    <sheet name="📋 Cover &amp; Guide" sheetId="1" r:id="rId1"/>
    <sheet name="📚 CBRT Framework" sheetId="2" r:id="rId2"/>
    <sheet name="💰 VMC Budget Inventory" sheetId="3" r:id="rId3"/>
    <sheet name="🗺️ CBRT Mapping" sheetId="4" r:id="rId4"/>
    <sheet name="📊 Resilience Dashboard" sheetId="5" r:id="rId5"/>
    <sheet name="🏦 Bond Readines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5" l="1"/>
  <c r="F19" i="5" s="1"/>
  <c r="D19" i="5"/>
  <c r="E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</calcChain>
</file>

<file path=xl/sharedStrings.xml><?xml version="1.0" encoding="utf-8"?>
<sst xmlns="http://schemas.openxmlformats.org/spreadsheetml/2006/main" count="822" uniqueCount="530">
  <si>
    <t>CLIMATE BONDS RESILIENCE TAXONOMY (CBRT) — BUDGET MAPPING TOOL</t>
  </si>
  <si>
    <t>Case Study: Vadodara Municipal Corporation (VMC) | Budget 2026–27 | INR 7,609 Crore</t>
  </si>
  <si>
    <t>Developed under the Climate Bonds Initiative — India Resilience Taxonomy Programme</t>
  </si>
  <si>
    <t>ABOUT THIS TOOL</t>
  </si>
  <si>
    <t>PURPOSE</t>
  </si>
  <si>
    <t>This tool helps local government officials, urban planners, and financial analysts map existing municipal budget lines against the CBRT framework to identify, classify, and report climate resilience investments.</t>
  </si>
  <si>
    <t>WHAT IS CBRT?</t>
  </si>
  <si>
    <t>The Climate Bonds Resilience Taxonomy (CBRT), launched September 2024, provides a science-based classification of investments that build climate resilience. It covers 7 Resilience Themes with 'Adapting' and 'Enabling' investment categories.</t>
  </si>
  <si>
    <t>HOW TO USE</t>
  </si>
  <si>
    <t>Navigate through the 6 sheets: (1) This Cover &amp; Guide, (2) CBRT Framework Reference, (3) VMC Budget Inventory, (4) CBRT Mapping &amp; Screening, (5) Resilience Dashboard, (6) Green Bond Readiness Assessment.</t>
  </si>
  <si>
    <t>DATA SOURCE</t>
  </si>
  <si>
    <t>VMC Draft Budget 2026–27 (INR 7,609 Cr). Flood control data from Gujarat Irrigation Dept Vishwamitri project (INR 2,460 Cr). Climate risk data from IPCC AR6 &amp; India NDC.</t>
  </si>
  <si>
    <t>DISCLAIMER</t>
  </si>
  <si>
    <t>This is an indicative mapping for capacity-building purposes. Full CBRT eligibility requires detailed project-level screening against published CBRT criteria.</t>
  </si>
  <si>
    <t>WORKBOOK NAVIGATION</t>
  </si>
  <si>
    <t>Sheet #</t>
  </si>
  <si>
    <t>Sheet Name</t>
  </si>
  <si>
    <t>Purpose</t>
  </si>
  <si>
    <t>Key Output</t>
  </si>
  <si>
    <t>1</t>
  </si>
  <si>
    <t>📋 Cover &amp; Guide</t>
  </si>
  <si>
    <t>Introduction, purpose, and how-to guide</t>
  </si>
  <si>
    <t>Orientation</t>
  </si>
  <si>
    <t>2</t>
  </si>
  <si>
    <t>📚 CBRT Framework</t>
  </si>
  <si>
    <t>All 7 resilience themes, investment types, screening criteria summary</t>
  </si>
  <si>
    <t>Reference library</t>
  </si>
  <si>
    <t>3</t>
  </si>
  <si>
    <t>💰 VMC Budget Inventory</t>
  </si>
  <si>
    <t>Full VMC 2026-27 budget line items by department</t>
  </si>
  <si>
    <t>Base data</t>
  </si>
  <si>
    <t>4</t>
  </si>
  <si>
    <t>🗺️ CBRT Mapping</t>
  </si>
  <si>
    <t>Each budget line mapped to CBRT theme, eligibility score, and rationale</t>
  </si>
  <si>
    <t>Core mapping output</t>
  </si>
  <si>
    <t>5</t>
  </si>
  <si>
    <t>📊 Resilience Dashboard</t>
  </si>
  <si>
    <t>Summary charts: CBRT-eligible spend by theme, gap analysis</t>
  </si>
  <si>
    <t>Visual reporting</t>
  </si>
  <si>
    <t>6</t>
  </si>
  <si>
    <t>🏦 Bond Readiness</t>
  </si>
  <si>
    <t>Assessment of VMC readiness to issue a Resilience/Climate Bond</t>
  </si>
  <si>
    <t>Investor-ready output</t>
  </si>
  <si>
    <t>CBRT — 7 RESILIENCE THEMES AT A GLANCE</t>
  </si>
  <si>
    <t>T1
Water Resources &amp; Flood Mgmt</t>
  </si>
  <si>
    <t>T2
Ecosystems &amp; Green Infra</t>
  </si>
  <si>
    <t>T3
Urban &amp; Built Environment</t>
  </si>
  <si>
    <t>T4
Agriculture &amp; Food Systems</t>
  </si>
  <si>
    <t>T5
Health &amp; Community Resilience</t>
  </si>
  <si>
    <t>T6
Energy &amp; Transport Infra</t>
  </si>
  <si>
    <t>T7
Enabling Environment</t>
  </si>
  <si>
    <t>© Climate Bonds Initiative 2025 | India Resilience Taxonomy Programme | Prepared for VMC CBRT Case Study | For queries contact: india@climatebonds.net</t>
  </si>
  <si>
    <t>CBRT FRAMEWORK REFERENCE — 7 RESILIENCE THEMES &amp; INVESTMENT CATEGORIES</t>
  </si>
  <si>
    <t>Source: Climate Bonds Initiative, Climate Bonds Resilience Taxonomy v1.0, September 2024</t>
  </si>
  <si>
    <t>Theme ID</t>
  </si>
  <si>
    <t>Theme Name</t>
  </si>
  <si>
    <t>Investment Category</t>
  </si>
  <si>
    <t>Investment Sub-type</t>
  </si>
  <si>
    <t>Indicative Activities (India-relevant)</t>
  </si>
  <si>
    <t>CBRT Classification</t>
  </si>
  <si>
    <t>Do No Significant Harm (DNSH)</t>
  </si>
  <si>
    <t>T1</t>
  </si>
  <si>
    <t>Water Resources
&amp; Flood Mgmt</t>
  </si>
  <si>
    <t>Adapting</t>
  </si>
  <si>
    <t>Flood Risk Reduction</t>
  </si>
  <si>
    <t>Stormwater drainage upgrade; river dredging; flood barriers; retention ponds; early warning systems</t>
  </si>
  <si>
    <t>Adapting – Physical</t>
  </si>
  <si>
    <t>Avoid coastal wetland destruction; no maladaptive hard barriers</t>
  </si>
  <si>
    <t>Water Supply Security</t>
  </si>
  <si>
    <t>Rainwater harvesting; groundwater recharge; water recycling plants; drought-resilient supply infrastructure</t>
  </si>
  <si>
    <t>No depletion of freshwater ecosystems; DNSH on land use</t>
  </si>
  <si>
    <t>Enabling</t>
  </si>
  <si>
    <t>Water Governance</t>
  </si>
  <si>
    <t>Water audit systems; GIS flood mapping; integrated urban flood management plans; climate VRA for water sector</t>
  </si>
  <si>
    <t>Enabling – Systemic</t>
  </si>
  <si>
    <t>Data quality and public disclosure</t>
  </si>
  <si>
    <t>T2</t>
  </si>
  <si>
    <t>Ecosystems &amp;
Green Infra</t>
  </si>
  <si>
    <t>Urban Greening</t>
  </si>
  <si>
    <t>Urban forests; green roofs; tree plantation drives; biodiversity corridors; riverfront ecosystem restoration</t>
  </si>
  <si>
    <t>Adapting – Nature-based</t>
  </si>
  <si>
    <t>No invasive species; net biodiversity gain required</t>
  </si>
  <si>
    <t>NbS for Flood &amp; Heat</t>
  </si>
  <si>
    <t>Wetland restoration; green buffers along Vishwamitri River; urban parks as heat refuges; permeable paving</t>
  </si>
  <si>
    <t>Alignment with IUCN NbS standards; co-benefit documentation</t>
  </si>
  <si>
    <t>T3</t>
  </si>
  <si>
    <t>Urban &amp; Built
Environment</t>
  </si>
  <si>
    <t>Climate-Resilient Infrastructure</t>
  </si>
  <si>
    <t>Heat-resilient road surfaces; climate-proofed drains; resilient bridges; cool roofs on public buildings</t>
  </si>
  <si>
    <t>No lock-in of carbon-intensive materials; lifecycle assessment</t>
  </si>
  <si>
    <t>Disaster Risk Reduction</t>
  </si>
  <si>
    <t>Fire station upgrades; emergency response systems; cyclone/flood shelters; early warning dissemination infrastructure</t>
  </si>
  <si>
    <t>Community inclusion; non-discriminatory access</t>
  </si>
  <si>
    <t>Urban Climate Planning</t>
  </si>
  <si>
    <t>City-level climate risk assessments; SAPCC alignment; climate cell establishment; climate-proofing building codes</t>
  </si>
  <si>
    <t>Enabling – Regulatory</t>
  </si>
  <si>
    <t>Transparent public process; gender mainstreaming</t>
  </si>
  <si>
    <t>T4</t>
  </si>
  <si>
    <t>Agriculture &amp;
Food Systems</t>
  </si>
  <si>
    <t>Urban Agriculture Resilience</t>
  </si>
  <si>
    <t>Drought-tolerant urban farming; community food gardens; cold chain for peri-urban markets; post-harvest loss reduction</t>
  </si>
  <si>
    <t>No deforestation; no pesticide-intensive practices</t>
  </si>
  <si>
    <t>Food Security Planning</t>
  </si>
  <si>
    <t>Market infrastructure for resilient supply chains; GIS-based crop monitoring in peri-urban Vadodara zone</t>
  </si>
  <si>
    <t>Inclusive access for marginalised communities</t>
  </si>
  <si>
    <t>T5</t>
  </si>
  <si>
    <t>Health &amp; Community
Resilience</t>
  </si>
  <si>
    <t>Health Infrastructure</t>
  </si>
  <si>
    <t>Climate-resilient health centres; heat stress response protocols; vector control (dengue/malaria post-flood); SSG Hospital resilience upgrades</t>
  </si>
  <si>
    <t>Adapting – Social</t>
  </si>
  <si>
    <t>No increase in environmental health burden</t>
  </si>
  <si>
    <t>Social Infrastructure</t>
  </si>
  <si>
    <t>Flood shelters; community resilience centres; vulnerable population early warning systems</t>
  </si>
  <si>
    <t>Inclusion of women, elderly, disabled populations</t>
  </si>
  <si>
    <t>T6</t>
  </si>
  <si>
    <t>Energy &amp; Transport
Infra</t>
  </si>
  <si>
    <t>Resilient Energy Systems</t>
  </si>
  <si>
    <t>Solar rooftop for municipal buildings (20 MW proposed); grid resilience; backup power for critical services during floods</t>
  </si>
  <si>
    <t>No net increase in GHG emissions; DNSH on climate mitigation</t>
  </si>
  <si>
    <t>Climate-Resilient Transport</t>
  </si>
  <si>
    <t>Flood-proofed roads and flyovers; resilient public transit; non-motorised transport infrastructure in flood-prone zones</t>
  </si>
  <si>
    <t>Modal shift co-benefit; no lock-in of fossil fuel transport</t>
  </si>
  <si>
    <t>T7</t>
  </si>
  <si>
    <t>Enabling
Environment</t>
  </si>
  <si>
    <t>Finance &amp; Governance</t>
  </si>
  <si>
    <t>Municipal green/resilience bond issuance (VMC Blue Bond INR 200 Cr); climate budget tagging; CBRT-aligned expenditure reporting</t>
  </si>
  <si>
    <t>Enabling – Financial</t>
  </si>
  <si>
    <t>Disclosure of use of proceeds; alignment with SEBI GSS+</t>
  </si>
  <si>
    <t>Data &amp; Knowledge Systems</t>
  </si>
  <si>
    <t>GIS climate risk systems; climate vulnerability atlas; capacity building for municipal staff; TWG facilitation</t>
  </si>
  <si>
    <t>Enabling – Institutional</t>
  </si>
  <si>
    <t>Open data; public access to risk information</t>
  </si>
  <si>
    <t>VMC BUDGET INVENTORY 2026–27 — LINE ITEMS BY DEPARTMENT</t>
  </si>
  <si>
    <t>Total Budget: ₹7,609.63 Crore | Income: ₹4,861.23 Cr | Expenditure: ₹5,036.71 Cr | Surplus from reserves/bonds</t>
  </si>
  <si>
    <t>Dept
Code</t>
  </si>
  <si>
    <t>Department / Project</t>
  </si>
  <si>
    <t>Budget Line Item</t>
  </si>
  <si>
    <t>Budget
(INR Crore)</t>
  </si>
  <si>
    <t>% of Total
Budget</t>
  </si>
  <si>
    <t>Budget
Type</t>
  </si>
  <si>
    <t>Funding Source</t>
  </si>
  <si>
    <t>Notes</t>
  </si>
  <si>
    <t>WD</t>
  </si>
  <si>
    <t>Water &amp; Drainage</t>
  </si>
  <si>
    <t>Stormwater drainage system upgrades (city-wide)</t>
  </si>
  <si>
    <t>Own funds + AMRUT 2.0</t>
  </si>
  <si>
    <t>Strengthened drainage per budget</t>
  </si>
  <si>
    <t>Water supply network expansion &amp; treatment plants</t>
  </si>
  <si>
    <t>Own funds + JNNURM/AMRUT</t>
  </si>
  <si>
    <t>Water reuse initiatives targeting ₹50 Cr revenue</t>
  </si>
  <si>
    <t>Sewage line repairs &amp; STP upgrades (West zone priority)</t>
  </si>
  <si>
    <t>State grants</t>
  </si>
  <si>
    <t>West zone sewage repair announced</t>
  </si>
  <si>
    <t>Vishwamitri flood control – river dredging (VMC portion)</t>
  </si>
  <si>
    <t>State + own funds</t>
  </si>
  <si>
    <t>VMC share; Irrigation Dept separately ₹2,460 Cr</t>
  </si>
  <si>
    <t>Rainwater harvesting &amp; lake restoration (Ajwa, Pratapura)</t>
  </si>
  <si>
    <t>Own funds + NMCG</t>
  </si>
  <si>
    <t>Ajwa &amp; Pratapura lake deepening</t>
  </si>
  <si>
    <t>O&amp;M – Water supply &amp; drainage</t>
  </si>
  <si>
    <t>Own funds</t>
  </si>
  <si>
    <t>Annual O&amp;M</t>
  </si>
  <si>
    <t>RT</t>
  </si>
  <si>
    <t>Roads &amp; Transport</t>
  </si>
  <si>
    <t>Road construction &amp; widening (including Sevasi corridor)</t>
  </si>
  <si>
    <t>Own funds + state</t>
  </si>
  <si>
    <t>Sevasi Road to Mahapuragam corridor</t>
  </si>
  <si>
    <t>Flyover construction &amp; bridge resilience upgrades</t>
  </si>
  <si>
    <t>State + bonds</t>
  </si>
  <si>
    <t>10 flyovers with safety cameras</t>
  </si>
  <si>
    <t>Non-motorised transport &amp; footpaths</t>
  </si>
  <si>
    <t>Smart Cities/AMRUT</t>
  </si>
  <si>
    <t>Pedestrian &amp; cycling infra</t>
  </si>
  <si>
    <t>O&amp;M – Roads</t>
  </si>
  <si>
    <t>Pothole repair, maintenance</t>
  </si>
  <si>
    <t>SW</t>
  </si>
  <si>
    <t>Solid Waste &amp; Environment</t>
  </si>
  <si>
    <t>Solid waste management – processing &amp; collection</t>
  </si>
  <si>
    <t>Expanded collection; waste-to-energy feasibility</t>
  </si>
  <si>
    <t>Urban greening – tree plantation &amp; green cover expansion (17%→21%)</t>
  </si>
  <si>
    <t>Own funds + CSR</t>
  </si>
  <si>
    <t>7.2 lakh trees planted programme</t>
  </si>
  <si>
    <t>Canal-front &amp; riverfront park development</t>
  </si>
  <si>
    <t>Own funds + PPP</t>
  </si>
  <si>
    <t>Vishwamitri riverfront amenity</t>
  </si>
  <si>
    <t>Climate cell &amp; GIS systems establishment</t>
  </si>
  <si>
    <t>New institutional cell in HQ</t>
  </si>
  <si>
    <t>HE</t>
  </si>
  <si>
    <t>Health</t>
  </si>
  <si>
    <t>Primary health centres &amp; urban health posts upgrades</t>
  </si>
  <si>
    <t>NHM + own funds</t>
  </si>
  <si>
    <t>40 PHCs; 72 urban health centres</t>
  </si>
  <si>
    <t>SSG Hospital expansion &amp; resilience upgrades</t>
  </si>
  <si>
    <t>Standalone state hospital; climate-proofing</t>
  </si>
  <si>
    <t>Vector control &amp; post-flood health emergency systems</t>
  </si>
  <si>
    <t>Own funds + NHM</t>
  </si>
  <si>
    <t>1,350 health workers deployed post-flood 2024</t>
  </si>
  <si>
    <t>PB</t>
  </si>
  <si>
    <t>Public Buildings &amp; Social Infra</t>
  </si>
  <si>
    <t>New auditoriums (Sama, Manjalpur, Sevasi)</t>
  </si>
  <si>
    <t>3 new auditoriums</t>
  </si>
  <si>
    <t>Sports complex upgrade (Kotambi)</t>
  </si>
  <si>
    <t>₹350 Cr Kotambi upgrade</t>
  </si>
  <si>
    <t>Zonal civic centres (accessibility reform)</t>
  </si>
  <si>
    <t>Single-window service reform</t>
  </si>
  <si>
    <t>School borewells &amp; climate-safe school infra</t>
  </si>
  <si>
    <t>Own funds + SSA</t>
  </si>
  <si>
    <t>Borewells at schools announced</t>
  </si>
  <si>
    <t>EN</t>
  </si>
  <si>
    <t>Energy</t>
  </si>
  <si>
    <t>Solar energy generation – 20 MW rooftop programme</t>
  </si>
  <si>
    <t>MNRE + own funds</t>
  </si>
  <si>
    <t>Offsets municipal power consumption</t>
  </si>
  <si>
    <t>LED street lighting &amp; energy efficiency upgrades</t>
  </si>
  <si>
    <t>Own funds + EESL</t>
  </si>
  <si>
    <t>BEE award city; extending LED</t>
  </si>
  <si>
    <t>Backup power for critical infra (health, drainage pumps)</t>
  </si>
  <si>
    <t>Post-flood resilience measure</t>
  </si>
  <si>
    <t>AD</t>
  </si>
  <si>
    <t>Administration &amp; Digital</t>
  </si>
  <si>
    <t>New VMC headquarters complex</t>
  </si>
  <si>
    <t>Own funds + bonds</t>
  </si>
  <si>
    <t>Flagship project; GIS/vigilance cells</t>
  </si>
  <si>
    <t>Digital services &amp; IT infrastructure</t>
  </si>
  <si>
    <t>Own funds + Digital India</t>
  </si>
  <si>
    <t>Smart city integration</t>
  </si>
  <si>
    <t>Surveillance cameras &amp; public safety systems</t>
  </si>
  <si>
    <t>75 cameras on 10 flyovers</t>
  </si>
  <si>
    <t>FN</t>
  </si>
  <si>
    <t>Finance &amp; Bonds</t>
  </si>
  <si>
    <t>Blue Municipal Bond issuance (water infra)</t>
  </si>
  <si>
    <t>Bond market</t>
  </si>
  <si>
    <t>VMC first Blue Bond; SEBI registered issuer</t>
  </si>
  <si>
    <t>Contingency / reserve fund</t>
  </si>
  <si>
    <t>Financial buffer</t>
  </si>
  <si>
    <t>Debt service &amp; prior commitments</t>
  </si>
  <si>
    <t>Loan repayment</t>
  </si>
  <si>
    <t>TOTAL VMC BUDGET 2026–27</t>
  </si>
  <si>
    <t>100.00%</t>
  </si>
  <si>
    <t>CBRT BUDGET MAPPING &amp; SCREENING — VMC 2026–27</t>
  </si>
  <si>
    <t>Each budget line is mapped to CBRT theme, classified, scored for eligibility, and assessed for DNSH compliance</t>
  </si>
  <si>
    <t>ELIGIBILITY SCORING LEGEND</t>
  </si>
  <si>
    <t>✅ FULLY ELIGIBLE</t>
  </si>
  <si>
    <t>Directly meets CBRT screening criteria</t>
  </si>
  <si>
    <t>⚡ PARTIALLY ELIGIBLE</t>
  </si>
  <si>
    <t>Meets criteria with conditions / further screening needed</t>
  </si>
  <si>
    <t>❌ NOT ELIGIBLE</t>
  </si>
  <si>
    <t>Does not meet CBRT criteria (no direct resilience objective)</t>
  </si>
  <si>
    <t>🔍 ENABLING</t>
  </si>
  <si>
    <t>Finance, governance, data — supports taxonomy adoption</t>
  </si>
  <si>
    <t>Budget
(INR Cr)</t>
  </si>
  <si>
    <t>CBRT Theme</t>
  </si>
  <si>
    <t>Investment
Category</t>
  </si>
  <si>
    <t>Eligibility
Status</t>
  </si>
  <si>
    <t>Eligible
Amount (Cr)</t>
  </si>
  <si>
    <t>Rationale / Screening Notes</t>
  </si>
  <si>
    <t>DNSH
Flag</t>
  </si>
  <si>
    <t>Priority
Tier</t>
  </si>
  <si>
    <t>Recommended
Action</t>
  </si>
  <si>
    <t>Stormwater drainage upgrades</t>
  </si>
  <si>
    <t>T1 – Water</t>
  </si>
  <si>
    <t>Directly reduces urban flood risk; aligns with CBRT T1 stormwater criteria</t>
  </si>
  <si>
    <t>✅ Pass</t>
  </si>
  <si>
    <t>Tier 1</t>
  </si>
  <si>
    <t>Include in Resilience Bond Use of Proceeds</t>
  </si>
  <si>
    <t>Water supply network &amp; treatment</t>
  </si>
  <si>
    <t>Water supply security under T1; drought &amp; heat stress resilience</t>
  </si>
  <si>
    <t>Include in Blue Bond / Resilience Bond</t>
  </si>
  <si>
    <t>Sewage line repairs &amp; STP upgrades</t>
  </si>
  <si>
    <t>80% eligible – wastewater treatment qualifies; administrative overhead excluded</t>
  </si>
  <si>
    <t>⚠️ Review</t>
  </si>
  <si>
    <t>Tier 2</t>
  </si>
  <si>
    <t>Separate capital from O&amp;M; apply T1 screening</t>
  </si>
  <si>
    <t>Vishwamitri flood control – river dredging</t>
  </si>
  <si>
    <t>Flood risk reduction per CBRT T1; August 2024 flood event demonstrates need</t>
  </si>
  <si>
    <t>Priority – anchor project for resilience bond</t>
  </si>
  <si>
    <t>Rainwater harvesting &amp; lake restoration</t>
  </si>
  <si>
    <t>T1 water security + T2 ecosystem restoration dual-benefit; NbS eligible</t>
  </si>
  <si>
    <t>Co-benefit T2; document NbS standards</t>
  </si>
  <si>
    <t>50% eligible – climate adaptation O&amp;M qualifies; routine maintenance excluded</t>
  </si>
  <si>
    <t>Tier 3</t>
  </si>
  <si>
    <t>Disaggregate climate O&amp;M from routine</t>
  </si>
  <si>
    <t>Road construction &amp; widening</t>
  </si>
  <si>
    <t>T3 – Urban Infra</t>
  </si>
  <si>
    <t>30% eligible – climate-resilient materials / flood-proof design qualifies; routine expansion does not</t>
  </si>
  <si>
    <t>Apply climate-proofing criteria; conditional eligibility</t>
  </si>
  <si>
    <t>Flyover construction &amp; bridge resilience</t>
  </si>
  <si>
    <t>60% eligible where flood/seismic resilience is primary design objective</t>
  </si>
  <si>
    <t>Confirm resilience design specs with engineers</t>
  </si>
  <si>
    <t>T6 – Energy &amp; Transport</t>
  </si>
  <si>
    <t>Reduces heat exposure; climate co-benefit; urban mobility resilience under T6</t>
  </si>
  <si>
    <t>Include in resilience bond with co-benefit disclosure</t>
  </si>
  <si>
    <t>Routine road maintenance; no primary climate resilience objective</t>
  </si>
  <si>
    <t>N/A</t>
  </si>
  <si>
    <t>Not eligible</t>
  </si>
  <si>
    <t>Exclude from CBRT mapping</t>
  </si>
  <si>
    <t>Solid waste management</t>
  </si>
  <si>
    <t>30% eligible – climate-resilient waste processing (post-flood waste); routine operations excluded</t>
  </si>
  <si>
    <t>Focus on post-disaster/climate SWM component</t>
  </si>
  <si>
    <t>Urban greening (17%→21% green cover)</t>
  </si>
  <si>
    <t>T2 – Ecosystems</t>
  </si>
  <si>
    <t>CBRT T2 NbS: urban forests reduce heat island; flood buffering; biodiversity co-benefit</t>
  </si>
  <si>
    <t>Priority NbS project; document IUCN NbS standard compliance</t>
  </si>
  <si>
    <t>T2 ecosystem restoration along Vishwamitri; combined with T1 flood buffer</t>
  </si>
  <si>
    <t>Dual T1+T2 classification; strong CBRT case</t>
  </si>
  <si>
    <t>Climate cell &amp; GIS systems</t>
  </si>
  <si>
    <t>T7 – Enabling</t>
  </si>
  <si>
    <t>T7 enabling – institutional capacity; climate VRA system for Vadodara</t>
  </si>
  <si>
    <t>Critical for CBRT adoption; showcase to CBI TWG</t>
  </si>
  <si>
    <t>PHC &amp; urban health posts upgrades</t>
  </si>
  <si>
    <t>T5 – Health</t>
  </si>
  <si>
    <t>T5 climate-resilient health infrastructure; heat &amp; flood disease response</t>
  </si>
  <si>
    <t>Include in resilience bond social category</t>
  </si>
  <si>
    <t>SSG Hospital expansion</t>
  </si>
  <si>
    <t>60% eligible – climate-proofing elements qualify; general capacity expansion excluded</t>
  </si>
  <si>
    <t>Climate-proof design components only</t>
  </si>
  <si>
    <t>Vector control &amp; health emergency systems</t>
  </si>
  <si>
    <t>Directly addresses climate-induced disease burden (dengue, cholera post-flood)</t>
  </si>
  <si>
    <t>Strong CBRT T5 case; link to August 2024 flood event</t>
  </si>
  <si>
    <t>New auditoriums</t>
  </si>
  <si>
    <t>Cultural infrastructure; no primary climate resilience objective</t>
  </si>
  <si>
    <t>Sports complex upgrade</t>
  </si>
  <si>
    <t>Recreation infrastructure; not CBRT eligible unless heat-resilient design specified</t>
  </si>
  <si>
    <t>May qualify partially if heat-resilience design documented</t>
  </si>
  <si>
    <t>Zonal civic centres</t>
  </si>
  <si>
    <t>30% – climate service delivery centres qualify under T7 enabling; general admin excluded</t>
  </si>
  <si>
    <t>Include climate service window component only</t>
  </si>
  <si>
    <t>Groundwater security; T1 water supply; climate adaptation for vulnerable population</t>
  </si>
  <si>
    <t>Include in social resilience bond category</t>
  </si>
  <si>
    <t>Solar energy – 20 MW rooftop</t>
  </si>
  <si>
    <t>T6 energy resilience; backup power during climate events; mitigation co-benefit (carbon reduction)</t>
  </si>
  <si>
    <t>Dual mitigation + adaptation; strong investor appeal</t>
  </si>
  <si>
    <t>LED street lighting &amp; energy efficiency</t>
  </si>
  <si>
    <t>Energy resilience; T6; reduces load-shedding vulnerability during heat events</t>
  </si>
  <si>
    <t>Include in energy resilience category</t>
  </si>
  <si>
    <t>Backup power for critical infra</t>
  </si>
  <si>
    <t>Directly ensures health centres and drainage pumps function during floods; T5+T6 dual</t>
  </si>
  <si>
    <t>Critical resilience investment; link to Aug 2024 flood disruption</t>
  </si>
  <si>
    <t>New VMC headquarters</t>
  </si>
  <si>
    <t>20% – climate governance cell, GIS, energy efficiency components only; admin building excluded</t>
  </si>
  <si>
    <t>Ring-fence climate-related components (GIS, climate cell, solar)</t>
  </si>
  <si>
    <t>50% – climate data systems, flood EWS, GIS qualify under T7; routine digital services excluded</t>
  </si>
  <si>
    <t>Identify and ring-fence climate information systems</t>
  </si>
  <si>
    <t>Surveillance cameras &amp; safety systems</t>
  </si>
  <si>
    <t>40% – flood/disaster surveillance qualifies; routine crime prevention excluded</t>
  </si>
  <si>
    <t>Focus on disaster monitoring use case</t>
  </si>
  <si>
    <t>Blue Municipal Bond issuance</t>
  </si>
  <si>
    <t>T7 financial enabling – CBRT-aligned bond framework; proceeds for water resilience</t>
  </si>
  <si>
    <t>Priority – demonstrate CBRT bond use of proceeds; align with CBI standard</t>
  </si>
  <si>
    <t>30% – climate disaster contingency qualifies; general reserve excluded</t>
  </si>
  <si>
    <t>Ring-fence climate disaster reserve component</t>
  </si>
  <si>
    <t>Debt repayment; not CBRT eligible</t>
  </si>
  <si>
    <t>Exclude</t>
  </si>
  <si>
    <t>TOTAL CBRT-ELIGIBLE BUDGET (VMC 2026–27)</t>
  </si>
  <si>
    <t>40.5% of total VMC budget is CBRT-eligible</t>
  </si>
  <si>
    <t>VMC RESILIENCE INVESTMENT DASHBOARD — CBRT ANALYSIS 2026–27</t>
  </si>
  <si>
    <t>Total Budget: ₹7,609.63 Cr | CBRT-Eligible: ₹3,080 Cr (40.5%) | Tier 1 Priority: ₹1,527 Cr</t>
  </si>
  <si>
    <t>TOTAL VMC BUDGET</t>
  </si>
  <si>
    <t>CBRT-ELIGIBLE SPEND</t>
  </si>
  <si>
    <t>% CBRT ELIGIBLE</t>
  </si>
  <si>
    <t>TIER 1 PRIORITY PROJECTS</t>
  </si>
  <si>
    <t>BLUE BOND ISSUED</t>
  </si>
  <si>
    <t>ADAPTATION FINANCE GAP (India)</t>
  </si>
  <si>
    <t>₹7,609 Cr</t>
  </si>
  <si>
    <t>₹3,080 Cr</t>
  </si>
  <si>
    <t>40.5%</t>
  </si>
  <si>
    <t>₹1,527 Cr</t>
  </si>
  <si>
    <t>₹200 Cr</t>
  </si>
  <si>
    <t>USD 1.3T (2024–30)</t>
  </si>
  <si>
    <t>CBRT-ELIGIBLE SPEND BY RESILIENCE THEME</t>
  </si>
  <si>
    <t>Total Budget
Allocated (Cr)</t>
  </si>
  <si>
    <t>CBRT-Eligible
Amount (Cr)</t>
  </si>
  <si>
    <t>Eligibility
%</t>
  </si>
  <si>
    <t># Projects
Mapped</t>
  </si>
  <si>
    <t>Tier 1
Amount (Cr)</t>
  </si>
  <si>
    <t>Status</t>
  </si>
  <si>
    <t>Water Resources &amp; Flood Mgmt</t>
  </si>
  <si>
    <t>🏆 Highest Priority</t>
  </si>
  <si>
    <t>Ecosystems &amp; Green Infra</t>
  </si>
  <si>
    <t>✅ Fully Mapped</t>
  </si>
  <si>
    <t>Urban &amp; Built Environment</t>
  </si>
  <si>
    <t>⚡ Partial – needs screening</t>
  </si>
  <si>
    <t>Agriculture &amp; Food Systems</t>
  </si>
  <si>
    <t>❌ Gap – no budget allocated</t>
  </si>
  <si>
    <t>Health &amp; Community Resilience</t>
  </si>
  <si>
    <t>✅ Strong coverage</t>
  </si>
  <si>
    <t>Energy &amp; Transport Infra</t>
  </si>
  <si>
    <t>Enabling Environment</t>
  </si>
  <si>
    <t>🔍 Enabling – key for taxonomy</t>
  </si>
  <si>
    <t>TOTAL</t>
  </si>
  <si>
    <t>GAP ANALYSIS — WHAT IS MISSING FROM VMC BUDGET?</t>
  </si>
  <si>
    <t>CBRT Gap Area</t>
  </si>
  <si>
    <t>Current Budget</t>
  </si>
  <si>
    <t>Gap Description</t>
  </si>
  <si>
    <t>Recommended Action</t>
  </si>
  <si>
    <t>Priority</t>
  </si>
  <si>
    <t>T4 – Agriculture &amp; Food Systems</t>
  </si>
  <si>
    <t>₹0 Cr</t>
  </si>
  <si>
    <t>No budget for peri-urban food system resilience despite heat/drought risk to Vadodara hinterland</t>
  </si>
  <si>
    <t>Add urban-fringe agricultural resilience programme; partner with Gujarat AgriDept</t>
  </si>
  <si>
    <t>HIGH</t>
  </si>
  <si>
    <t>T1 – Physical Climate Risk Assessment</t>
  </si>
  <si>
    <t>Not budgeted</t>
  </si>
  <si>
    <t>No standalone PCRA / vulnerability mapping budget for Vadodara</t>
  </si>
  <si>
    <t>Allocate ₹5-10 Cr for city-level VRA; use CBRT T7 enabling criteria</t>
  </si>
  <si>
    <t>T5 – Heat Action Plan Infrastructure</t>
  </si>
  <si>
    <t>Minimal</t>
  </si>
  <si>
    <t>No dedicated budget for cooling centres, heat warning systems, WBGT monitoring</t>
  </si>
  <si>
    <t>Add ₹20-30 Cr heat resilience line under health/social infra</t>
  </si>
  <si>
    <t>MEDIUM</t>
  </si>
  <si>
    <t>T2 – Coastal / Wetland Ecosystems</t>
  </si>
  <si>
    <t>Not applicable (inland)</t>
  </si>
  <si>
    <t>Vadodara is inland; coastal T2 not applicable but riparian ecosystem spending is underfunded</t>
  </si>
  <si>
    <t>Expand Vishwamitri riparian restoration budget under T2</t>
  </si>
  <si>
    <t>T7 – CBRT Reporting Framework</t>
  </si>
  <si>
    <t>No climate budget tagging system or CBRT disclosure mechanism in VMC</t>
  </si>
  <si>
    <t>Establish climate budget tagging; link to SEBI GSS+ reporting for Blue Bond</t>
  </si>
  <si>
    <t>VMC RESILIENCE BOND READINESS ASSESSMENT — CBRT FRAMEWORK</t>
  </si>
  <si>
    <t>Assessment of Vadodara Municipal Corporation's readiness to issue a CBRT-aligned Resilience / Blue Bond</t>
  </si>
  <si>
    <t>SECTION A – ELIGIBLE PROJECT PIPELINE (Use of Proceeds)</t>
  </si>
  <si>
    <t>Project / Programme</t>
  </si>
  <si>
    <t>Amount
(INR Cr)</t>
  </si>
  <si>
    <t>CBRT
Theme</t>
  </si>
  <si>
    <t>Eligibility</t>
  </si>
  <si>
    <t>Bond
Category</t>
  </si>
  <si>
    <t>Impact Metric</t>
  </si>
  <si>
    <t>Investor
Appeal</t>
  </si>
  <si>
    <t>Vishwamitri flood control &amp; river dredging</t>
  </si>
  <si>
    <t>✅ Eligible</t>
  </si>
  <si>
    <t>Resilience Bond</t>
  </si>
  <si>
    <t>Area protected from flooding (ha); flood events prevented</t>
  </si>
  <si>
    <t>⭐⭐⭐⭐⭐</t>
  </si>
  <si>
    <t>Stormwater drainage system upgrades</t>
  </si>
  <si>
    <t>Blue Bond / Resilience Bond</t>
  </si>
  <si>
    <t>Drainage capacity (m³/s); households protected</t>
  </si>
  <si>
    <t>Water supply &amp; treatment expansion</t>
  </si>
  <si>
    <t>Blue Bond</t>
  </si>
  <si>
    <t>Households with reliable supply; water treated (MLD)</t>
  </si>
  <si>
    <t>Solar energy – 20 MW rooftop programme</t>
  </si>
  <si>
    <t>Green + Resilience Bond</t>
  </si>
  <si>
    <t>MW installed; tCO₂e avoided; energy uptime during events</t>
  </si>
  <si>
    <t>⭐⭐⭐⭐</t>
  </si>
  <si>
    <t>Urban greening – green cover 17%→21%</t>
  </si>
  <si>
    <t>Nature-based Resilience Bond</t>
  </si>
  <si>
    <t>Trees planted; green area (ha); UHI reduction (°C)</t>
  </si>
  <si>
    <t>T1+T2</t>
  </si>
  <si>
    <t>Blue / Nature Bond</t>
  </si>
  <si>
    <t>Storage capacity (ML); recharge rate</t>
  </si>
  <si>
    <t>Primary health centres – climate resilience</t>
  </si>
  <si>
    <t>Social Resilience Bond</t>
  </si>
  <si>
    <t>Climate-resilient PHCs (#); population covered</t>
  </si>
  <si>
    <t>Vector control &amp; emergency health systems</t>
  </si>
  <si>
    <t>Disease burden reduction; response time (hours)</t>
  </si>
  <si>
    <t>⭐⭐⭐</t>
  </si>
  <si>
    <t>Backup power for critical infrastructure</t>
  </si>
  <si>
    <t>Critical sites with backup power (#); uptime during events</t>
  </si>
  <si>
    <t>Resilience / Green Bond</t>
  </si>
  <si>
    <t>km of climate-resilient NMT infra; heat exposure reduction</t>
  </si>
  <si>
    <t>School borewells &amp; water security</t>
  </si>
  <si>
    <t>Schools with water access (#); students benefited</t>
  </si>
  <si>
    <t>GIS &amp; climate cell establishment</t>
  </si>
  <si>
    <t>🔍 Enabling</t>
  </si>
  <si>
    <t>Resilience Bond (Enabling)</t>
  </si>
  <si>
    <t>Climate risk data points; VRA coverage</t>
  </si>
  <si>
    <t>TOTAL BOND-ELIGIBLE PIPELINE</t>
  </si>
  <si>
    <t>SECTION B – BOND ISSUANCE READINESS SCORECARD</t>
  </si>
  <si>
    <t>Readiness Criterion</t>
  </si>
  <si>
    <t>Current VMC Status</t>
  </si>
  <si>
    <t>Score
(1–5)</t>
  </si>
  <si>
    <t>Gap / Action Required</t>
  </si>
  <si>
    <t>Timeline</t>
  </si>
  <si>
    <t>Eligible project pipeline (&gt;₹500 Cr)</t>
  </si>
  <si>
    <t>✅ ₹1,942 Cr identified</t>
  </si>
  <si>
    <t>Pipeline exceeds typical bond threshold; well-positioned</t>
  </si>
  <si>
    <t>Ready now</t>
  </si>
  <si>
    <t>CBRT/Green Bond Framework (SPO)</t>
  </si>
  <si>
    <t>❌ Not yet established</t>
  </si>
  <si>
    <t>Engage CBI for CBRT alignment; appoint Second Party Opinion provider</t>
  </si>
  <si>
    <t>3–6 months</t>
  </si>
  <si>
    <t>Use of Proceeds ring-fencing</t>
  </si>
  <si>
    <t>⚡ Blue Bond framework started (₹200 Cr)</t>
  </si>
  <si>
    <t>Expand to full resilience bond; strengthen project selection criteria</t>
  </si>
  <si>
    <t>Impact reporting capability</t>
  </si>
  <si>
    <t>⚡ Partial (GIS cell being established)</t>
  </si>
  <si>
    <t>Build baseline data for all 12 bond projects; agree KPIs with CBI</t>
  </si>
  <si>
    <t>6–12 months</t>
  </si>
  <si>
    <t>Climate risk disclosure</t>
  </si>
  <si>
    <t>❌ No TCFD/physical risk report yet</t>
  </si>
  <si>
    <t>Commission Vadodara PCRA; disclose flood, heat, drought risk profile</t>
  </si>
  <si>
    <t>6 months</t>
  </si>
  <si>
    <t>SEBI GSS+ Bond Registration</t>
  </si>
  <si>
    <t>✅ VMC is SEBI registered bond issuer</t>
  </si>
  <si>
    <t>Upgrade existing registration to GSS+ / CBRT-aligned framework</t>
  </si>
  <si>
    <t>2–3 months</t>
  </si>
  <si>
    <t>Investor roadshow readiness</t>
  </si>
  <si>
    <t>⚡ Limited; first Blue Bond in 2024</t>
  </si>
  <si>
    <t>Develop investor presentation with CBRT mapping; engage DFIs (ADB, World Bank)</t>
  </si>
  <si>
    <t>Governance &amp; oversight committee</t>
  </si>
  <si>
    <t>❌ No dedicated green bond committee</t>
  </si>
  <si>
    <t>Establish VMC Climate Finance Committee; include CBI, SEBI representation</t>
  </si>
  <si>
    <t>3 months</t>
  </si>
  <si>
    <t>Track record / credit rating</t>
  </si>
  <si>
    <t>✅ Rated; SEBI registered issuer</t>
  </si>
  <si>
    <t>Maintain timely repayments; disclose climate risk in credit narrative</t>
  </si>
  <si>
    <t>Ongoing</t>
  </si>
  <si>
    <t>Technical assistance available</t>
  </si>
  <si>
    <t>✅ CBI India presence; GIZ/World Bank active</t>
  </si>
  <si>
    <t>Engage CBI India programme for CBRT certification support</t>
  </si>
  <si>
    <t>Immediate</t>
  </si>
  <si>
    <t>OVERALL READINESS SCORE</t>
  </si>
  <si>
    <t>33/50 (66%)</t>
  </si>
  <si>
    <t>MODERATE-HIGH: VMC has strong project pipeline &amp; SEBI registration. Priority action: establish CBRT framework &amp; climate risk disclosure.</t>
  </si>
  <si>
    <t>6–12 months to full readiness</t>
  </si>
  <si>
    <t>SECTION C — RECOMMENDED BOND STRUCTURE FOR VMC</t>
  </si>
  <si>
    <t>Bond Type</t>
  </si>
  <si>
    <t>CBRT-Aligned Resilience Bond (with Blue Bond sub-tranche)</t>
  </si>
  <si>
    <t>Recommended Size</t>
  </si>
  <si>
    <t>₹500–750 Crore (Phase 1); expandable to ₹1,500 Cr (Phase 2)</t>
  </si>
  <si>
    <t>Key Use of Proceeds</t>
  </si>
  <si>
    <t>Flood control (Vishwamitri), stormwater drainage, water supply, solar energy, urban greening, health resilience</t>
  </si>
  <si>
    <t>CBRT Themes Covered</t>
  </si>
  <si>
    <t>T1 (Water), T2 (Ecosystems), T5 (Health), T6 (Energy)</t>
  </si>
  <si>
    <t>Certification Body</t>
  </si>
  <si>
    <t>Climate Bonds Initiative (CBRT Standard, 2025 update)</t>
  </si>
  <si>
    <t>Target Investors</t>
  </si>
  <si>
    <t>ADB, World Bank IFC, domestic insurance funds, ESG-focused FPIs, SIDBI Green Window</t>
  </si>
  <si>
    <t>Estimated Impact</t>
  </si>
  <si>
    <t>2M residents protected from flood risk; 20 MW clean energy; 3.8 lakh additional PHC beneficiaries</t>
  </si>
  <si>
    <t>Next Step</t>
  </si>
  <si>
    <t>Engage CBI India team for pre-issuance assessment; appoint SPO; commission Vadodara Physical Climate Risk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</si>
</sst>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%"/>
    <numFmt numFmtId="165" formatCode="#,##0.0"/>
    <numFmt numFmtId="166" formatCode="0.0%"/>
  </numFmts>
  <fonts count="32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3"/>
      <color rgb="FFFFFFFF"/>
      <name val="Arial"/>
      <charset val="1"/>
    </font>
    <font>
      <i/>
      <sz val="10"/>
      <color rgb="FF1B5E2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00"/>
      <name val="Arial"/>
      <charset val="1"/>
    </font>
    <font>
      <i/>
      <sz val="9"/>
      <color rgb="FFFFFFFF"/>
      <name val="Arial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0"/>
      <color rgb="FF000000"/>
      <name val="Arial"/>
      <charset val="1"/>
    </font>
    <font>
      <sz val="9"/>
      <name val="Arial"/>
      <charset val="1"/>
    </font>
    <font>
      <sz val="9"/>
      <color rgb="FF1B5E20"/>
      <name val="Arial"/>
      <charset val="1"/>
    </font>
    <font>
      <b/>
      <sz val="12"/>
      <color rgb="FFFFD600"/>
      <name val="Arial"/>
      <charset val="1"/>
    </font>
    <font>
      <b/>
      <sz val="11"/>
      <color rgb="FFFFD600"/>
      <name val="Arial"/>
      <charset val="1"/>
    </font>
    <font>
      <b/>
      <sz val="9"/>
      <color rgb="FF2E7D32"/>
      <name val="Arial"/>
      <charset val="1"/>
    </font>
    <font>
      <b/>
      <sz val="9"/>
      <color rgb="FFF57F17"/>
      <name val="Arial"/>
      <charset val="1"/>
    </font>
    <font>
      <b/>
      <sz val="9"/>
      <color rgb="FFB71C1C"/>
      <name val="Arial"/>
      <charset val="1"/>
    </font>
    <font>
      <b/>
      <sz val="9"/>
      <color rgb="FF004D40"/>
      <name val="Arial"/>
      <charset val="1"/>
    </font>
    <font>
      <sz val="9"/>
      <color rgb="FFFFFFFF"/>
      <name val="Arial"/>
      <charset val="1"/>
    </font>
    <font>
      <sz val="9"/>
      <color rgb="FF004D40"/>
      <name val="Arial"/>
      <charset val="1"/>
    </font>
    <font>
      <b/>
      <sz val="13"/>
      <color rgb="FF1B5E20"/>
      <name val="Arial"/>
      <charset val="1"/>
    </font>
    <font>
      <b/>
      <sz val="11"/>
      <color rgb="FF1B5E20"/>
      <name val="Arial"/>
      <charset val="1"/>
    </font>
    <font>
      <b/>
      <sz val="14"/>
      <color rgb="FFFFD600"/>
      <name val="Arial"/>
      <charset val="1"/>
    </font>
    <font>
      <sz val="11"/>
      <color rgb="FF000000"/>
      <name val="Arial"/>
      <charset val="1"/>
    </font>
    <font>
      <b/>
      <sz val="13"/>
      <color rgb="FF000000"/>
      <name val="Arial"/>
      <charset val="1"/>
    </font>
    <font>
      <b/>
      <sz val="10"/>
      <color rgb="FF1B5E20"/>
      <name val="Arial"/>
      <charset val="1"/>
    </font>
    <font>
      <sz val="10"/>
      <color rgb="FF1B5E20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1B5E20"/>
        <bgColor rgb="FF004D40"/>
      </patternFill>
    </fill>
    <fill>
      <patternFill patternType="solid">
        <fgColor rgb="FF2E7D32"/>
        <bgColor rgb="FF1B5E20"/>
      </patternFill>
    </fill>
    <fill>
      <patternFill patternType="solid">
        <fgColor rgb="FFA5D6A7"/>
        <bgColor rgb="FFB2DFDB"/>
      </patternFill>
    </fill>
    <fill>
      <patternFill patternType="solid">
        <fgColor rgb="FF37474F"/>
        <bgColor rgb="FF1B5E20"/>
      </patternFill>
    </fill>
    <fill>
      <patternFill patternType="solid">
        <fgColor rgb="FFE8F5E9"/>
        <bgColor rgb="FFE0F2F1"/>
      </patternFill>
    </fill>
    <fill>
      <patternFill patternType="solid">
        <fgColor rgb="FF004D40"/>
        <bgColor rgb="FF1B5E20"/>
      </patternFill>
    </fill>
    <fill>
      <patternFill patternType="solid">
        <fgColor rgb="FFFFFFFF"/>
        <bgColor rgb="FFE8F5E9"/>
      </patternFill>
    </fill>
    <fill>
      <patternFill patternType="solid">
        <fgColor rgb="FF0D47A1"/>
        <bgColor rgb="FF0066CC"/>
      </patternFill>
    </fill>
    <fill>
      <patternFill patternType="solid">
        <fgColor rgb="FFF57F17"/>
        <bgColor rgb="FFFF9900"/>
      </patternFill>
    </fill>
    <fill>
      <patternFill patternType="solid">
        <fgColor rgb="FFB71C1C"/>
        <bgColor rgb="FF993366"/>
      </patternFill>
    </fill>
    <fill>
      <patternFill patternType="solid">
        <fgColor rgb="FFE3F2FD"/>
        <bgColor rgb="FFE0F2F1"/>
      </patternFill>
    </fill>
    <fill>
      <patternFill patternType="solid">
        <fgColor rgb="FFECEFF1"/>
        <bgColor rgb="FFE8F5E9"/>
      </patternFill>
    </fill>
    <fill>
      <patternFill patternType="solid">
        <fgColor rgb="FFFFF9C4"/>
        <bgColor rgb="FFFFFF99"/>
      </patternFill>
    </fill>
    <fill>
      <patternFill patternType="solid">
        <fgColor rgb="FFFFCDD2"/>
        <bgColor rgb="FFECEFF1"/>
      </patternFill>
    </fill>
    <fill>
      <patternFill patternType="solid">
        <fgColor rgb="FFB2DFDB"/>
        <bgColor rgb="FFA5D6A7"/>
      </patternFill>
    </fill>
    <fill>
      <patternFill patternType="solid">
        <fgColor rgb="FFE0F2F1"/>
        <bgColor rgb="FFE3F2FD"/>
      </patternFill>
    </fill>
    <fill>
      <patternFill patternType="solid">
        <fgColor rgb="FFFFD600"/>
        <bgColor rgb="FFFFFF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left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left" vertical="center" wrapText="1"/>
    </xf>
    <xf numFmtId="0" fontId="11" fillId="11" borderId="3" xfId="0" applyFont="1" applyFill="1" applyBorder="1" applyAlignment="1">
      <alignment horizontal="center" vertical="center" wrapText="1"/>
    </xf>
    <xf numFmtId="0" fontId="12" fillId="15" borderId="3" xfId="0" applyFont="1" applyFill="1" applyBorder="1" applyAlignment="1">
      <alignment horizontal="center" vertical="center" wrapText="1"/>
    </xf>
    <xf numFmtId="0" fontId="12" fillId="15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3" fillId="12" borderId="3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center" wrapText="1"/>
    </xf>
    <xf numFmtId="4" fontId="14" fillId="8" borderId="3" xfId="0" applyNumberFormat="1" applyFont="1" applyFill="1" applyBorder="1" applyAlignment="1">
      <alignment horizontal="right" vertical="center" wrapText="1"/>
    </xf>
    <xf numFmtId="164" fontId="15" fillId="8" borderId="3" xfId="0" applyNumberFormat="1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left" vertical="center" wrapText="1"/>
    </xf>
    <xf numFmtId="0" fontId="13" fillId="13" borderId="3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left" vertical="center" wrapText="1"/>
    </xf>
    <xf numFmtId="0" fontId="13" fillId="16" borderId="3" xfId="0" applyFont="1" applyFill="1" applyBorder="1" applyAlignment="1">
      <alignment horizontal="left" vertical="center" wrapText="1"/>
    </xf>
    <xf numFmtId="4" fontId="17" fillId="2" borderId="3" xfId="0" applyNumberFormat="1" applyFont="1" applyFill="1" applyBorder="1" applyAlignment="1">
      <alignment horizontal="right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23" fillId="9" borderId="3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4" fontId="14" fillId="6" borderId="3" xfId="0" applyNumberFormat="1" applyFont="1" applyFill="1" applyBorder="1" applyAlignment="1">
      <alignment horizontal="right" vertical="center" wrapText="1"/>
    </xf>
    <xf numFmtId="0" fontId="24" fillId="17" borderId="3" xfId="0" applyFont="1" applyFill="1" applyBorder="1" applyAlignment="1">
      <alignment horizontal="left" vertical="center" wrapText="1"/>
    </xf>
    <xf numFmtId="0" fontId="20" fillId="14" borderId="3" xfId="0" applyFont="1" applyFill="1" applyBorder="1" applyAlignment="1">
      <alignment horizontal="center" vertical="center" wrapText="1"/>
    </xf>
    <xf numFmtId="4" fontId="14" fillId="14" borderId="3" xfId="0" applyNumberFormat="1" applyFont="1" applyFill="1" applyBorder="1" applyAlignment="1">
      <alignment horizontal="right" vertical="center" wrapText="1"/>
    </xf>
    <xf numFmtId="0" fontId="23" fillId="5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vertical="center" wrapText="1"/>
    </xf>
    <xf numFmtId="0" fontId="21" fillId="15" borderId="3" xfId="0" applyFont="1" applyFill="1" applyBorder="1" applyAlignment="1">
      <alignment horizontal="center" vertical="center" wrapText="1"/>
    </xf>
    <xf numFmtId="4" fontId="14" fillId="15" borderId="3" xfId="0" applyNumberFormat="1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4" fontId="14" fillId="16" borderId="3" xfId="0" applyNumberFormat="1" applyFont="1" applyFill="1" applyBorder="1" applyAlignment="1">
      <alignment horizontal="right" vertical="center" wrapText="1"/>
    </xf>
    <xf numFmtId="0" fontId="23" fillId="11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23" fillId="13" borderId="3" xfId="0" applyFont="1" applyFill="1" applyBorder="1" applyAlignment="1">
      <alignment horizontal="center" vertical="center" wrapText="1"/>
    </xf>
    <xf numFmtId="4" fontId="25" fillId="18" borderId="3" xfId="0" applyNumberFormat="1" applyFont="1" applyFill="1" applyBorder="1" applyAlignment="1">
      <alignment horizontal="right" vertical="center" wrapText="1"/>
    </xf>
    <xf numFmtId="0" fontId="26" fillId="18" borderId="3" xfId="0" applyFont="1" applyFill="1" applyBorder="1" applyAlignment="1">
      <alignment horizontal="left" vertical="center" wrapText="1"/>
    </xf>
    <xf numFmtId="0" fontId="7" fillId="18" borderId="3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vertical="center" wrapText="1"/>
    </xf>
    <xf numFmtId="165" fontId="7" fillId="12" borderId="3" xfId="0" applyNumberFormat="1" applyFont="1" applyFill="1" applyBorder="1" applyAlignment="1">
      <alignment horizontal="right" vertical="center" wrapText="1"/>
    </xf>
    <xf numFmtId="165" fontId="14" fillId="12" borderId="3" xfId="0" applyNumberFormat="1" applyFont="1" applyFill="1" applyBorder="1" applyAlignment="1">
      <alignment horizontal="right" vertical="center" wrapText="1"/>
    </xf>
    <xf numFmtId="166" fontId="14" fillId="6" borderId="3" xfId="0" applyNumberFormat="1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165" fontId="14" fillId="6" borderId="3" xfId="0" applyNumberFormat="1" applyFont="1" applyFill="1" applyBorder="1" applyAlignment="1">
      <alignment horizontal="right" vertical="center" wrapText="1"/>
    </xf>
    <xf numFmtId="0" fontId="5" fillId="3" borderId="3" xfId="0" applyFont="1" applyFill="1" applyBorder="1" applyAlignment="1">
      <alignment horizontal="center" vertical="center" wrapText="1"/>
    </xf>
    <xf numFmtId="165" fontId="7" fillId="6" borderId="3" xfId="0" applyNumberFormat="1" applyFont="1" applyFill="1" applyBorder="1" applyAlignment="1">
      <alignment horizontal="right" vertical="center" wrapText="1"/>
    </xf>
    <xf numFmtId="0" fontId="5" fillId="5" borderId="3" xfId="0" applyFont="1" applyFill="1" applyBorder="1" applyAlignment="1">
      <alignment horizontal="center" vertical="center" wrapText="1"/>
    </xf>
    <xf numFmtId="165" fontId="7" fillId="13" borderId="3" xfId="0" applyNumberFormat="1" applyFont="1" applyFill="1" applyBorder="1" applyAlignment="1">
      <alignment horizontal="right" vertical="center" wrapText="1"/>
    </xf>
    <xf numFmtId="165" fontId="14" fillId="13" borderId="3" xfId="0" applyNumberFormat="1" applyFont="1" applyFill="1" applyBorder="1" applyAlignment="1">
      <alignment horizontal="right" vertical="center" wrapText="1"/>
    </xf>
    <xf numFmtId="166" fontId="14" fillId="15" borderId="3" xfId="0" applyNumberFormat="1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165" fontId="7" fillId="14" borderId="3" xfId="0" applyNumberFormat="1" applyFont="1" applyFill="1" applyBorder="1" applyAlignment="1">
      <alignment horizontal="right" vertical="center" wrapText="1"/>
    </xf>
    <xf numFmtId="165" fontId="14" fillId="14" borderId="3" xfId="0" applyNumberFormat="1" applyFont="1" applyFill="1" applyBorder="1" applyAlignment="1">
      <alignment horizontal="right" vertical="center" wrapText="1"/>
    </xf>
    <xf numFmtId="0" fontId="7" fillId="14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165" fontId="7" fillId="15" borderId="3" xfId="0" applyNumberFormat="1" applyFont="1" applyFill="1" applyBorder="1" applyAlignment="1">
      <alignment horizontal="right" vertical="center" wrapText="1"/>
    </xf>
    <xf numFmtId="165" fontId="14" fillId="15" borderId="3" xfId="0" applyNumberFormat="1" applyFont="1" applyFill="1" applyBorder="1" applyAlignment="1">
      <alignment horizontal="right" vertical="center" wrapText="1"/>
    </xf>
    <xf numFmtId="0" fontId="7" fillId="15" borderId="3" xfId="0" applyFont="1" applyFill="1" applyBorder="1" applyAlignment="1">
      <alignment horizontal="center" vertical="center" wrapText="1"/>
    </xf>
    <xf numFmtId="165" fontId="7" fillId="16" borderId="3" xfId="0" applyNumberFormat="1" applyFont="1" applyFill="1" applyBorder="1" applyAlignment="1">
      <alignment horizontal="right" vertical="center" wrapText="1"/>
    </xf>
    <xf numFmtId="165" fontId="14" fillId="16" borderId="3" xfId="0" applyNumberFormat="1" applyFont="1" applyFill="1" applyBorder="1" applyAlignment="1">
      <alignment horizontal="right" vertical="center" wrapText="1"/>
    </xf>
    <xf numFmtId="0" fontId="7" fillId="16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66" fontId="14" fillId="14" borderId="3" xfId="0" applyNumberFormat="1" applyFont="1" applyFill="1" applyBorder="1" applyAlignment="1">
      <alignment horizontal="center" vertical="center" wrapText="1"/>
    </xf>
    <xf numFmtId="165" fontId="18" fillId="2" borderId="3" xfId="0" applyNumberFormat="1" applyFont="1" applyFill="1" applyBorder="1" applyAlignment="1">
      <alignment horizontal="right" vertical="center" wrapText="1"/>
    </xf>
    <xf numFmtId="166" fontId="18" fillId="2" borderId="3" xfId="0" applyNumberFormat="1" applyFont="1" applyFill="1" applyBorder="1" applyAlignment="1">
      <alignment horizontal="center" vertical="center" wrapText="1"/>
    </xf>
    <xf numFmtId="0" fontId="14" fillId="15" borderId="3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left" vertical="center" wrapText="1"/>
    </xf>
    <xf numFmtId="0" fontId="12" fillId="17" borderId="3" xfId="0" applyFont="1" applyFill="1" applyBorder="1" applyAlignment="1">
      <alignment horizontal="left" vertical="center" wrapText="1"/>
    </xf>
    <xf numFmtId="0" fontId="28" fillId="14" borderId="3" xfId="0" applyFont="1" applyFill="1" applyBorder="1" applyAlignment="1">
      <alignment horizontal="center" vertical="center" wrapText="1"/>
    </xf>
    <xf numFmtId="165" fontId="7" fillId="2" borderId="3" xfId="0" applyNumberFormat="1" applyFont="1" applyFill="1" applyBorder="1" applyAlignment="1">
      <alignment horizontal="left" vertical="center" wrapText="1"/>
    </xf>
    <xf numFmtId="0" fontId="29" fillId="6" borderId="3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9" fillId="14" borderId="3" xfId="0" applyFont="1" applyFill="1" applyBorder="1" applyAlignment="1">
      <alignment horizontal="center" vertical="center" wrapText="1"/>
    </xf>
    <xf numFmtId="0" fontId="25" fillId="18" borderId="3" xfId="0" applyFont="1" applyFill="1" applyBorder="1" applyAlignment="1">
      <alignment horizontal="center" vertical="center" wrapText="1"/>
    </xf>
    <xf numFmtId="0" fontId="30" fillId="18" borderId="3" xfId="0" applyFont="1" applyFill="1" applyBorder="1" applyAlignment="1">
      <alignment horizontal="left" vertical="center" wrapText="1"/>
    </xf>
    <xf numFmtId="0" fontId="31" fillId="18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left" vertical="center" wrapText="1"/>
    </xf>
    <xf numFmtId="0" fontId="20" fillId="14" borderId="4" xfId="0" applyFont="1" applyFill="1" applyBorder="1" applyAlignment="1">
      <alignment horizontal="center" vertical="center" wrapText="1"/>
    </xf>
    <xf numFmtId="0" fontId="15" fillId="14" borderId="4" xfId="0" applyFont="1" applyFill="1" applyBorder="1" applyAlignment="1">
      <alignment horizontal="left" vertical="center" wrapText="1"/>
    </xf>
    <xf numFmtId="0" fontId="21" fillId="15" borderId="4" xfId="0" applyFont="1" applyFill="1" applyBorder="1" applyAlignment="1">
      <alignment horizontal="center" vertical="center" wrapText="1"/>
    </xf>
    <xf numFmtId="0" fontId="15" fillId="15" borderId="4" xfId="0" applyFont="1" applyFill="1" applyBorder="1" applyAlignment="1">
      <alignment horizontal="left" vertical="center" wrapText="1"/>
    </xf>
    <xf numFmtId="0" fontId="22" fillId="16" borderId="4" xfId="0" applyFont="1" applyFill="1" applyBorder="1" applyAlignment="1">
      <alignment horizontal="center" vertical="center" wrapText="1"/>
    </xf>
    <xf numFmtId="0" fontId="15" fillId="16" borderId="4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center" vertical="center" wrapText="1"/>
    </xf>
    <xf numFmtId="0" fontId="27" fillId="7" borderId="4" xfId="0" applyFont="1" applyFill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10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center" vertical="center" wrapText="1"/>
    </xf>
    <xf numFmtId="0" fontId="27" fillId="11" borderId="4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A5D6A7"/>
      <rgbColor rgb="FF808080"/>
      <rgbColor rgb="FF9999FF"/>
      <rgbColor rgb="FF993366"/>
      <rgbColor rgb="FFFFF9C4"/>
      <rgbColor rgb="FFE0F2F1"/>
      <rgbColor rgb="FF660066"/>
      <rgbColor rgb="FFFF8080"/>
      <rgbColor rgb="FF0066CC"/>
      <rgbColor rgb="FFECEF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F99"/>
      <rgbColor rgb="FFB2DFDB"/>
      <rgbColor rgb="FFFF99CC"/>
      <rgbColor rgb="FFCC99FF"/>
      <rgbColor rgb="FFFFCDD2"/>
      <rgbColor rgb="FF3366FF"/>
      <rgbColor rgb="FF33CCCC"/>
      <rgbColor rgb="FF99CC00"/>
      <rgbColor rgb="FFFFD600"/>
      <rgbColor rgb="FFFF9900"/>
      <rgbColor rgb="FFF57F17"/>
      <rgbColor rgb="FF666699"/>
      <rgbColor rgb="FF969696"/>
      <rgbColor rgb="FF004D40"/>
      <rgbColor rgb="FF2E7D32"/>
      <rgbColor rgb="FF003300"/>
      <rgbColor rgb="FF333300"/>
      <rgbColor rgb="FFB71C1C"/>
      <rgbColor rgb="FF993366"/>
      <rgbColor rgb="FF0D47A1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9"/>
  <sheetViews>
    <sheetView showGridLines="0" topLeftCell="B1" zoomScaleNormal="100" workbookViewId="0">
      <selection activeCell="B20" sqref="B20"/>
    </sheetView>
  </sheetViews>
  <sheetFormatPr defaultColWidth="8.7109375" defaultRowHeight="15" x14ac:dyDescent="0.25"/>
  <cols>
    <col min="1" max="1" width="3" customWidth="1"/>
    <col min="2" max="2" width="12.42578125" customWidth="1"/>
    <col min="3" max="3" width="20" customWidth="1"/>
    <col min="4" max="4" width="40" customWidth="1"/>
    <col min="5" max="5" width="24" customWidth="1"/>
    <col min="6" max="11" width="18" customWidth="1"/>
  </cols>
  <sheetData>
    <row r="1" spans="2:11" ht="19.5" customHeight="1" x14ac:dyDescent="0.25"/>
    <row r="2" spans="2:11" ht="19.5" customHeight="1" x14ac:dyDescent="0.25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</row>
    <row r="3" spans="2:11" ht="19.5" customHeight="1" x14ac:dyDescent="0.25"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2:11" ht="19.5" customHeight="1" x14ac:dyDescent="0.25"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2:11" ht="19.5" customHeight="1" x14ac:dyDescent="0.25">
      <c r="B5" s="13" t="s">
        <v>1</v>
      </c>
      <c r="C5" s="13"/>
      <c r="D5" s="13"/>
      <c r="E5" s="13"/>
      <c r="F5" s="13"/>
      <c r="G5" s="13"/>
      <c r="H5" s="13"/>
      <c r="I5" s="13"/>
      <c r="J5" s="13"/>
      <c r="K5" s="13"/>
    </row>
    <row r="6" spans="2:11" ht="19.5" customHeight="1" x14ac:dyDescent="0.25"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2:11" ht="19.5" customHeight="1" x14ac:dyDescent="0.25">
      <c r="B7" s="12" t="s">
        <v>2</v>
      </c>
      <c r="C7" s="12"/>
      <c r="D7" s="12"/>
      <c r="E7" s="12"/>
      <c r="F7" s="12"/>
      <c r="G7" s="12"/>
      <c r="H7" s="12"/>
      <c r="I7" s="12"/>
      <c r="J7" s="12"/>
      <c r="K7" s="12"/>
    </row>
    <row r="8" spans="2:11" ht="19.5" customHeight="1" x14ac:dyDescent="0.25"/>
    <row r="9" spans="2:11" ht="19.5" customHeight="1" x14ac:dyDescent="0.25">
      <c r="B9" s="11" t="s">
        <v>3</v>
      </c>
      <c r="C9" s="11"/>
      <c r="D9" s="11"/>
      <c r="E9" s="11"/>
      <c r="F9" s="11"/>
      <c r="G9" s="11"/>
      <c r="H9" s="11"/>
      <c r="I9" s="11"/>
      <c r="J9" s="11"/>
      <c r="K9" s="11"/>
    </row>
    <row r="10" spans="2:11" ht="30" customHeight="1" x14ac:dyDescent="0.25">
      <c r="B10" s="10" t="s">
        <v>4</v>
      </c>
      <c r="C10" s="9" t="s">
        <v>5</v>
      </c>
      <c r="D10" s="9"/>
      <c r="E10" s="9"/>
      <c r="F10" s="9"/>
      <c r="G10" s="9"/>
      <c r="H10" s="9"/>
      <c r="I10" s="9"/>
      <c r="J10" s="9"/>
      <c r="K10" s="9"/>
    </row>
    <row r="11" spans="2:11" ht="30" customHeight="1" x14ac:dyDescent="0.25">
      <c r="B11" s="10"/>
      <c r="C11" s="9"/>
      <c r="D11" s="9"/>
      <c r="E11" s="9"/>
      <c r="F11" s="9"/>
      <c r="G11" s="9"/>
      <c r="H11" s="9"/>
      <c r="I11" s="9"/>
      <c r="J11" s="9"/>
      <c r="K11" s="9"/>
    </row>
    <row r="12" spans="2:11" ht="30" customHeight="1" x14ac:dyDescent="0.25">
      <c r="B12" s="10" t="s">
        <v>6</v>
      </c>
      <c r="C12" s="9" t="s">
        <v>7</v>
      </c>
      <c r="D12" s="9"/>
      <c r="E12" s="9"/>
      <c r="F12" s="9"/>
      <c r="G12" s="9"/>
      <c r="H12" s="9"/>
      <c r="I12" s="9"/>
      <c r="J12" s="9"/>
      <c r="K12" s="9"/>
    </row>
    <row r="13" spans="2:11" ht="30" customHeight="1" x14ac:dyDescent="0.25">
      <c r="B13" s="10"/>
      <c r="C13" s="9"/>
      <c r="D13" s="9"/>
      <c r="E13" s="9"/>
      <c r="F13" s="9"/>
      <c r="G13" s="9"/>
      <c r="H13" s="9"/>
      <c r="I13" s="9"/>
      <c r="J13" s="9"/>
      <c r="K13" s="9"/>
    </row>
    <row r="14" spans="2:11" ht="30" customHeight="1" x14ac:dyDescent="0.25">
      <c r="B14" s="10" t="s">
        <v>8</v>
      </c>
      <c r="C14" s="9" t="s">
        <v>9</v>
      </c>
      <c r="D14" s="9"/>
      <c r="E14" s="9"/>
      <c r="F14" s="9"/>
      <c r="G14" s="9"/>
      <c r="H14" s="9"/>
      <c r="I14" s="9"/>
      <c r="J14" s="9"/>
      <c r="K14" s="9"/>
    </row>
    <row r="15" spans="2:11" ht="30" customHeight="1" x14ac:dyDescent="0.25">
      <c r="B15" s="10"/>
      <c r="C15" s="9"/>
      <c r="D15" s="9"/>
      <c r="E15" s="9"/>
      <c r="F15" s="9"/>
      <c r="G15" s="9"/>
      <c r="H15" s="9"/>
      <c r="I15" s="9"/>
      <c r="J15" s="9"/>
      <c r="K15" s="9"/>
    </row>
    <row r="16" spans="2:11" ht="30" customHeight="1" x14ac:dyDescent="0.25">
      <c r="B16" s="10" t="s">
        <v>10</v>
      </c>
      <c r="C16" s="9" t="s">
        <v>11</v>
      </c>
      <c r="D16" s="9"/>
      <c r="E16" s="9"/>
      <c r="F16" s="9"/>
      <c r="G16" s="9"/>
      <c r="H16" s="9"/>
      <c r="I16" s="9"/>
      <c r="J16" s="9"/>
      <c r="K16" s="9"/>
    </row>
    <row r="17" spans="2:11" ht="30" customHeight="1" x14ac:dyDescent="0.25">
      <c r="B17" s="10"/>
      <c r="C17" s="9"/>
      <c r="D17" s="9"/>
      <c r="E17" s="9"/>
      <c r="F17" s="9"/>
      <c r="G17" s="9"/>
      <c r="H17" s="9"/>
      <c r="I17" s="9"/>
      <c r="J17" s="9"/>
      <c r="K17" s="9"/>
    </row>
    <row r="18" spans="2:11" ht="30" customHeight="1" x14ac:dyDescent="0.25">
      <c r="B18" s="10" t="s">
        <v>12</v>
      </c>
      <c r="C18" s="9" t="s">
        <v>13</v>
      </c>
      <c r="D18" s="9"/>
      <c r="E18" s="9"/>
      <c r="F18" s="9"/>
      <c r="G18" s="9"/>
      <c r="H18" s="9"/>
      <c r="I18" s="9"/>
      <c r="J18" s="9"/>
      <c r="K18" s="9"/>
    </row>
    <row r="19" spans="2:11" ht="30" customHeight="1" x14ac:dyDescent="0.25">
      <c r="B19" s="10"/>
      <c r="C19" s="9"/>
      <c r="D19" s="9"/>
      <c r="E19" s="9"/>
      <c r="F19" s="9"/>
      <c r="G19" s="9"/>
      <c r="H19" s="9"/>
      <c r="I19" s="9"/>
      <c r="J19" s="9"/>
      <c r="K19" s="9"/>
    </row>
    <row r="20" spans="2:11" ht="19.5" customHeight="1" x14ac:dyDescent="0.25"/>
    <row r="21" spans="2:11" ht="19.5" customHeight="1" x14ac:dyDescent="0.25"/>
    <row r="22" spans="2:11" ht="19.5" customHeight="1" x14ac:dyDescent="0.25">
      <c r="B22" s="11" t="s">
        <v>14</v>
      </c>
      <c r="C22" s="11"/>
      <c r="D22" s="11"/>
      <c r="E22" s="11"/>
      <c r="F22" s="11"/>
      <c r="G22" s="11"/>
      <c r="H22" s="11"/>
      <c r="I22" s="11"/>
      <c r="J22" s="11"/>
      <c r="K22" s="11"/>
    </row>
    <row r="23" spans="2:11" ht="19.5" customHeight="1" x14ac:dyDescent="0.25">
      <c r="B23" s="15" t="s">
        <v>15</v>
      </c>
      <c r="C23" s="15" t="s">
        <v>16</v>
      </c>
      <c r="D23" s="15" t="s">
        <v>17</v>
      </c>
      <c r="E23" s="15" t="s">
        <v>18</v>
      </c>
    </row>
    <row r="24" spans="2:11" ht="27.75" customHeight="1" x14ac:dyDescent="0.25">
      <c r="B24" s="16" t="s">
        <v>19</v>
      </c>
      <c r="C24" s="17" t="s">
        <v>20</v>
      </c>
      <c r="D24" s="17" t="s">
        <v>21</v>
      </c>
      <c r="E24" s="17" t="s">
        <v>22</v>
      </c>
    </row>
    <row r="25" spans="2:11" ht="27.75" customHeight="1" x14ac:dyDescent="0.25">
      <c r="B25" s="18" t="s">
        <v>23</v>
      </c>
      <c r="C25" s="19" t="s">
        <v>24</v>
      </c>
      <c r="D25" s="19" t="s">
        <v>25</v>
      </c>
      <c r="E25" s="19" t="s">
        <v>26</v>
      </c>
    </row>
    <row r="26" spans="2:11" ht="27.75" customHeight="1" x14ac:dyDescent="0.25">
      <c r="B26" s="16" t="s">
        <v>27</v>
      </c>
      <c r="C26" s="17" t="s">
        <v>28</v>
      </c>
      <c r="D26" s="17" t="s">
        <v>29</v>
      </c>
      <c r="E26" s="17" t="s">
        <v>30</v>
      </c>
    </row>
    <row r="27" spans="2:11" ht="27.75" customHeight="1" x14ac:dyDescent="0.25">
      <c r="B27" s="18" t="s">
        <v>31</v>
      </c>
      <c r="C27" s="19" t="s">
        <v>32</v>
      </c>
      <c r="D27" s="19" t="s">
        <v>33</v>
      </c>
      <c r="E27" s="19" t="s">
        <v>34</v>
      </c>
    </row>
    <row r="28" spans="2:11" ht="27.75" customHeight="1" x14ac:dyDescent="0.25">
      <c r="B28" s="16" t="s">
        <v>35</v>
      </c>
      <c r="C28" s="17" t="s">
        <v>36</v>
      </c>
      <c r="D28" s="17" t="s">
        <v>37</v>
      </c>
      <c r="E28" s="17" t="s">
        <v>38</v>
      </c>
    </row>
    <row r="29" spans="2:11" ht="27.75" customHeight="1" x14ac:dyDescent="0.25">
      <c r="B29" s="18" t="s">
        <v>39</v>
      </c>
      <c r="C29" s="19" t="s">
        <v>40</v>
      </c>
      <c r="D29" s="19" t="s">
        <v>41</v>
      </c>
      <c r="E29" s="19" t="s">
        <v>42</v>
      </c>
    </row>
    <row r="30" spans="2:11" ht="19.5" customHeight="1" x14ac:dyDescent="0.25"/>
    <row r="31" spans="2:11" ht="19.5" customHeight="1" x14ac:dyDescent="0.25">
      <c r="B31" s="8" t="s">
        <v>43</v>
      </c>
      <c r="C31" s="8"/>
      <c r="D31" s="8"/>
      <c r="E31" s="8"/>
      <c r="F31" s="8"/>
      <c r="G31" s="8"/>
      <c r="H31" s="8"/>
      <c r="I31" s="8"/>
      <c r="J31" s="8"/>
      <c r="K31" s="8"/>
    </row>
    <row r="32" spans="2:11" ht="45" customHeight="1" x14ac:dyDescent="0.25">
      <c r="B32" s="7" t="s">
        <v>44</v>
      </c>
      <c r="C32" s="7"/>
      <c r="D32" s="6" t="s">
        <v>45</v>
      </c>
      <c r="E32" s="6"/>
      <c r="F32" s="5" t="s">
        <v>46</v>
      </c>
      <c r="G32" s="5"/>
      <c r="H32" s="4" t="s">
        <v>47</v>
      </c>
      <c r="I32" s="4"/>
    </row>
    <row r="33" spans="2:9" ht="19.5" customHeight="1" x14ac:dyDescent="0.25">
      <c r="B33" s="7"/>
      <c r="C33" s="7"/>
      <c r="D33" s="6"/>
      <c r="E33" s="6"/>
      <c r="F33" s="5"/>
      <c r="G33" s="5"/>
      <c r="H33" s="4"/>
      <c r="I33" s="4"/>
    </row>
    <row r="34" spans="2:9" ht="19.5" customHeight="1" x14ac:dyDescent="0.25">
      <c r="B34" s="7"/>
      <c r="C34" s="7"/>
      <c r="D34" s="6"/>
      <c r="E34" s="6"/>
      <c r="F34" s="5"/>
      <c r="G34" s="5"/>
      <c r="H34" s="4"/>
      <c r="I34" s="4"/>
    </row>
    <row r="35" spans="2:9" ht="19.5" customHeight="1" x14ac:dyDescent="0.25"/>
    <row r="36" spans="2:9" ht="45" customHeight="1" x14ac:dyDescent="0.25">
      <c r="B36" s="3" t="s">
        <v>48</v>
      </c>
      <c r="C36" s="3"/>
      <c r="D36" s="2" t="s">
        <v>49</v>
      </c>
      <c r="E36" s="2"/>
    </row>
    <row r="37" spans="2:9" ht="19.5" customHeight="1" x14ac:dyDescent="0.25">
      <c r="B37" s="3"/>
      <c r="C37" s="3"/>
      <c r="D37" s="2"/>
      <c r="E37" s="2"/>
    </row>
    <row r="38" spans="2:9" ht="19.5" customHeight="1" x14ac:dyDescent="0.25">
      <c r="B38" s="3"/>
      <c r="C38" s="3"/>
      <c r="D38" s="2"/>
      <c r="E38" s="2"/>
    </row>
    <row r="39" spans="2:9" ht="19.5" customHeight="1" x14ac:dyDescent="0.25"/>
    <row r="40" spans="2:9" ht="45" customHeight="1" x14ac:dyDescent="0.25">
      <c r="B40" s="1" t="s">
        <v>50</v>
      </c>
      <c r="C40" s="1"/>
    </row>
    <row r="41" spans="2:9" ht="19.5" customHeight="1" x14ac:dyDescent="0.25">
      <c r="B41" s="1"/>
      <c r="C41" s="1"/>
    </row>
    <row r="42" spans="2:9" ht="19.5" customHeight="1" x14ac:dyDescent="0.25">
      <c r="B42" s="1"/>
      <c r="C42" s="1"/>
    </row>
    <row r="43" spans="2:9" ht="19.5" customHeight="1" x14ac:dyDescent="0.25"/>
    <row r="44" spans="2:9" ht="19.5" customHeight="1" x14ac:dyDescent="0.25"/>
    <row r="45" spans="2:9" ht="19.5" customHeight="1" x14ac:dyDescent="0.25"/>
    <row r="46" spans="2:9" ht="19.5" customHeight="1" x14ac:dyDescent="0.25"/>
    <row r="47" spans="2:9" ht="19.5" customHeight="1" x14ac:dyDescent="0.25"/>
    <row r="48" spans="2:9" ht="19.5" customHeight="1" x14ac:dyDescent="0.25"/>
    <row r="49" spans="2:11" ht="19.5" customHeight="1" x14ac:dyDescent="0.25"/>
    <row r="50" spans="2:11" ht="19.5" customHeight="1" x14ac:dyDescent="0.25"/>
    <row r="51" spans="2:11" ht="19.5" customHeight="1" x14ac:dyDescent="0.25"/>
    <row r="52" spans="2:11" ht="19.5" customHeight="1" x14ac:dyDescent="0.25"/>
    <row r="53" spans="2:11" ht="19.5" customHeight="1" x14ac:dyDescent="0.25"/>
    <row r="54" spans="2:11" ht="19.5" customHeight="1" x14ac:dyDescent="0.25"/>
    <row r="55" spans="2:11" ht="19.5" customHeight="1" x14ac:dyDescent="0.25">
      <c r="B55" s="114" t="s">
        <v>51</v>
      </c>
      <c r="C55" s="114"/>
      <c r="D55" s="114"/>
      <c r="E55" s="114"/>
      <c r="F55" s="114"/>
      <c r="G55" s="114"/>
      <c r="H55" s="114"/>
      <c r="I55" s="114"/>
      <c r="J55" s="114"/>
      <c r="K55" s="114"/>
    </row>
    <row r="56" spans="2:11" ht="19.5" customHeight="1" x14ac:dyDescent="0.25"/>
    <row r="57" spans="2:11" ht="19.5" customHeight="1" x14ac:dyDescent="0.25"/>
    <row r="58" spans="2:11" ht="19.5" customHeight="1" x14ac:dyDescent="0.25"/>
    <row r="59" spans="2:11" ht="19.5" customHeight="1" x14ac:dyDescent="0.25"/>
  </sheetData>
  <mergeCells count="24">
    <mergeCell ref="B36:C38"/>
    <mergeCell ref="D36:E38"/>
    <mergeCell ref="B40:C42"/>
    <mergeCell ref="B55:K55"/>
    <mergeCell ref="B18:B19"/>
    <mergeCell ref="C18:K19"/>
    <mergeCell ref="B22:K22"/>
    <mergeCell ref="B31:K31"/>
    <mergeCell ref="B32:C34"/>
    <mergeCell ref="D32:E34"/>
    <mergeCell ref="F32:G34"/>
    <mergeCell ref="H32:I34"/>
    <mergeCell ref="B12:B13"/>
    <mergeCell ref="C12:K13"/>
    <mergeCell ref="B14:B15"/>
    <mergeCell ref="C14:K15"/>
    <mergeCell ref="B16:B17"/>
    <mergeCell ref="C16:K17"/>
    <mergeCell ref="B2:K4"/>
    <mergeCell ref="B5:K6"/>
    <mergeCell ref="B7:K7"/>
    <mergeCell ref="B9:K9"/>
    <mergeCell ref="B10:B11"/>
    <mergeCell ref="C10:K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2"/>
  <sheetViews>
    <sheetView showGridLines="0" tabSelected="1" zoomScaleNormal="100" workbookViewId="0">
      <selection activeCell="J6" sqref="J6"/>
    </sheetView>
  </sheetViews>
  <sheetFormatPr defaultColWidth="8.7109375" defaultRowHeight="15" x14ac:dyDescent="0.25"/>
  <cols>
    <col min="1" max="1" width="3" customWidth="1"/>
    <col min="2" max="2" width="8" customWidth="1"/>
    <col min="3" max="3" width="26" customWidth="1"/>
    <col min="4" max="4" width="18" customWidth="1"/>
    <col min="5" max="5" width="30" customWidth="1"/>
    <col min="6" max="6" width="22" customWidth="1"/>
    <col min="7" max="7" width="14" customWidth="1"/>
    <col min="8" max="8" width="18" customWidth="1"/>
  </cols>
  <sheetData>
    <row r="2" spans="2:8" ht="15" customHeight="1" x14ac:dyDescent="0.25">
      <c r="B2" s="115" t="s">
        <v>52</v>
      </c>
      <c r="C2" s="115"/>
      <c r="D2" s="115"/>
      <c r="E2" s="115"/>
      <c r="F2" s="115"/>
      <c r="G2" s="115"/>
      <c r="H2" s="115"/>
    </row>
    <row r="3" spans="2:8" ht="15" customHeight="1" x14ac:dyDescent="0.25">
      <c r="B3" s="115"/>
      <c r="C3" s="115"/>
      <c r="D3" s="115"/>
      <c r="E3" s="115"/>
      <c r="F3" s="115"/>
      <c r="G3" s="115"/>
      <c r="H3" s="115"/>
    </row>
    <row r="4" spans="2:8" ht="15" customHeight="1" x14ac:dyDescent="0.25">
      <c r="B4" s="116" t="s">
        <v>53</v>
      </c>
      <c r="C4" s="116"/>
      <c r="D4" s="116"/>
      <c r="E4" s="116"/>
      <c r="F4" s="116"/>
      <c r="G4" s="116"/>
      <c r="H4" s="116"/>
    </row>
    <row r="6" spans="2:8" ht="23.25" customHeight="1" x14ac:dyDescent="0.25">
      <c r="B6" s="15" t="s">
        <v>54</v>
      </c>
      <c r="C6" s="15" t="s">
        <v>55</v>
      </c>
      <c r="D6" s="15" t="s">
        <v>56</v>
      </c>
      <c r="E6" s="15" t="s">
        <v>57</v>
      </c>
      <c r="F6" s="15" t="s">
        <v>58</v>
      </c>
      <c r="G6" s="15" t="s">
        <v>59</v>
      </c>
      <c r="H6" s="15" t="s">
        <v>60</v>
      </c>
    </row>
    <row r="7" spans="2:8" ht="50.25" customHeight="1" x14ac:dyDescent="0.25">
      <c r="B7" s="20" t="s">
        <v>61</v>
      </c>
      <c r="C7" s="20" t="s">
        <v>62</v>
      </c>
      <c r="D7" s="21" t="s">
        <v>63</v>
      </c>
      <c r="E7" s="22" t="s">
        <v>64</v>
      </c>
      <c r="F7" s="22" t="s">
        <v>65</v>
      </c>
      <c r="G7" s="22" t="s">
        <v>66</v>
      </c>
      <c r="H7" s="22" t="s">
        <v>67</v>
      </c>
    </row>
    <row r="8" spans="2:8" ht="42" customHeight="1" x14ac:dyDescent="0.25">
      <c r="B8" s="20" t="s">
        <v>61</v>
      </c>
      <c r="C8" s="20" t="s">
        <v>62</v>
      </c>
      <c r="D8" s="21" t="s">
        <v>63</v>
      </c>
      <c r="E8" s="22" t="s">
        <v>68</v>
      </c>
      <c r="F8" s="22" t="s">
        <v>69</v>
      </c>
      <c r="G8" s="22" t="s">
        <v>66</v>
      </c>
      <c r="H8" s="22" t="s">
        <v>70</v>
      </c>
    </row>
    <row r="9" spans="2:8" ht="42" customHeight="1" x14ac:dyDescent="0.25">
      <c r="B9" s="20" t="s">
        <v>61</v>
      </c>
      <c r="C9" s="20" t="s">
        <v>62</v>
      </c>
      <c r="D9" s="21" t="s">
        <v>71</v>
      </c>
      <c r="E9" s="22" t="s">
        <v>72</v>
      </c>
      <c r="F9" s="22" t="s">
        <v>73</v>
      </c>
      <c r="G9" s="22" t="s">
        <v>74</v>
      </c>
      <c r="H9" s="22" t="s">
        <v>75</v>
      </c>
    </row>
    <row r="10" spans="2:8" ht="42" customHeight="1" x14ac:dyDescent="0.25">
      <c r="B10" s="23" t="s">
        <v>76</v>
      </c>
      <c r="C10" s="23" t="s">
        <v>77</v>
      </c>
      <c r="D10" s="24" t="s">
        <v>63</v>
      </c>
      <c r="E10" s="25" t="s">
        <v>78</v>
      </c>
      <c r="F10" s="25" t="s">
        <v>79</v>
      </c>
      <c r="G10" s="25" t="s">
        <v>80</v>
      </c>
      <c r="H10" s="25" t="s">
        <v>81</v>
      </c>
    </row>
    <row r="11" spans="2:8" ht="42" customHeight="1" x14ac:dyDescent="0.25">
      <c r="B11" s="23" t="s">
        <v>76</v>
      </c>
      <c r="C11" s="23" t="s">
        <v>77</v>
      </c>
      <c r="D11" s="24" t="s">
        <v>63</v>
      </c>
      <c r="E11" s="25" t="s">
        <v>82</v>
      </c>
      <c r="F11" s="25" t="s">
        <v>83</v>
      </c>
      <c r="G11" s="25" t="s">
        <v>80</v>
      </c>
      <c r="H11" s="25" t="s">
        <v>84</v>
      </c>
    </row>
    <row r="12" spans="2:8" ht="42" customHeight="1" x14ac:dyDescent="0.25">
      <c r="B12" s="26" t="s">
        <v>85</v>
      </c>
      <c r="C12" s="26" t="s">
        <v>86</v>
      </c>
      <c r="D12" s="27" t="s">
        <v>63</v>
      </c>
      <c r="E12" s="28" t="s">
        <v>87</v>
      </c>
      <c r="F12" s="28" t="s">
        <v>88</v>
      </c>
      <c r="G12" s="28" t="s">
        <v>66</v>
      </c>
      <c r="H12" s="28" t="s">
        <v>89</v>
      </c>
    </row>
    <row r="13" spans="2:8" ht="42" customHeight="1" x14ac:dyDescent="0.25">
      <c r="B13" s="26" t="s">
        <v>85</v>
      </c>
      <c r="C13" s="26" t="s">
        <v>86</v>
      </c>
      <c r="D13" s="27" t="s">
        <v>63</v>
      </c>
      <c r="E13" s="28" t="s">
        <v>90</v>
      </c>
      <c r="F13" s="28" t="s">
        <v>91</v>
      </c>
      <c r="G13" s="28" t="s">
        <v>66</v>
      </c>
      <c r="H13" s="28" t="s">
        <v>92</v>
      </c>
    </row>
    <row r="14" spans="2:8" ht="42" customHeight="1" x14ac:dyDescent="0.25">
      <c r="B14" s="26" t="s">
        <v>85</v>
      </c>
      <c r="C14" s="26" t="s">
        <v>86</v>
      </c>
      <c r="D14" s="27" t="s">
        <v>71</v>
      </c>
      <c r="E14" s="28" t="s">
        <v>93</v>
      </c>
      <c r="F14" s="28" t="s">
        <v>94</v>
      </c>
      <c r="G14" s="28" t="s">
        <v>95</v>
      </c>
      <c r="H14" s="28" t="s">
        <v>96</v>
      </c>
    </row>
    <row r="15" spans="2:8" ht="42" customHeight="1" x14ac:dyDescent="0.25">
      <c r="B15" s="29" t="s">
        <v>97</v>
      </c>
      <c r="C15" s="29" t="s">
        <v>98</v>
      </c>
      <c r="D15" s="30" t="s">
        <v>63</v>
      </c>
      <c r="E15" s="31" t="s">
        <v>99</v>
      </c>
      <c r="F15" s="31" t="s">
        <v>100</v>
      </c>
      <c r="G15" s="31" t="s">
        <v>66</v>
      </c>
      <c r="H15" s="31" t="s">
        <v>101</v>
      </c>
    </row>
    <row r="16" spans="2:8" ht="42" customHeight="1" x14ac:dyDescent="0.25">
      <c r="B16" s="29" t="s">
        <v>97</v>
      </c>
      <c r="C16" s="29" t="s">
        <v>98</v>
      </c>
      <c r="D16" s="30" t="s">
        <v>71</v>
      </c>
      <c r="E16" s="31" t="s">
        <v>102</v>
      </c>
      <c r="F16" s="31" t="s">
        <v>103</v>
      </c>
      <c r="G16" s="31" t="s">
        <v>74</v>
      </c>
      <c r="H16" s="31" t="s">
        <v>104</v>
      </c>
    </row>
    <row r="17" spans="2:8" ht="42" customHeight="1" x14ac:dyDescent="0.25">
      <c r="B17" s="32" t="s">
        <v>105</v>
      </c>
      <c r="C17" s="32" t="s">
        <v>106</v>
      </c>
      <c r="D17" s="33" t="s">
        <v>63</v>
      </c>
      <c r="E17" s="34" t="s">
        <v>107</v>
      </c>
      <c r="F17" s="34" t="s">
        <v>108</v>
      </c>
      <c r="G17" s="34" t="s">
        <v>109</v>
      </c>
      <c r="H17" s="34" t="s">
        <v>110</v>
      </c>
    </row>
    <row r="18" spans="2:8" ht="42" customHeight="1" x14ac:dyDescent="0.25">
      <c r="B18" s="32" t="s">
        <v>105</v>
      </c>
      <c r="C18" s="32" t="s">
        <v>106</v>
      </c>
      <c r="D18" s="33" t="s">
        <v>63</v>
      </c>
      <c r="E18" s="34" t="s">
        <v>111</v>
      </c>
      <c r="F18" s="34" t="s">
        <v>112</v>
      </c>
      <c r="G18" s="34" t="s">
        <v>109</v>
      </c>
      <c r="H18" s="34" t="s">
        <v>113</v>
      </c>
    </row>
    <row r="19" spans="2:8" ht="42" customHeight="1" x14ac:dyDescent="0.25">
      <c r="B19" s="35" t="s">
        <v>114</v>
      </c>
      <c r="C19" s="35" t="s">
        <v>115</v>
      </c>
      <c r="D19" s="36" t="s">
        <v>63</v>
      </c>
      <c r="E19" s="37" t="s">
        <v>116</v>
      </c>
      <c r="F19" s="37" t="s">
        <v>117</v>
      </c>
      <c r="G19" s="37" t="s">
        <v>66</v>
      </c>
      <c r="H19" s="37" t="s">
        <v>118</v>
      </c>
    </row>
    <row r="20" spans="2:8" ht="42" customHeight="1" x14ac:dyDescent="0.25">
      <c r="B20" s="35" t="s">
        <v>114</v>
      </c>
      <c r="C20" s="35" t="s">
        <v>115</v>
      </c>
      <c r="D20" s="36" t="s">
        <v>63</v>
      </c>
      <c r="E20" s="37" t="s">
        <v>119</v>
      </c>
      <c r="F20" s="37" t="s">
        <v>120</v>
      </c>
      <c r="G20" s="37" t="s">
        <v>66</v>
      </c>
      <c r="H20" s="37" t="s">
        <v>121</v>
      </c>
    </row>
    <row r="21" spans="2:8" ht="42" customHeight="1" x14ac:dyDescent="0.25">
      <c r="B21" s="38" t="s">
        <v>122</v>
      </c>
      <c r="C21" s="38" t="s">
        <v>123</v>
      </c>
      <c r="D21" s="24" t="s">
        <v>71</v>
      </c>
      <c r="E21" s="25" t="s">
        <v>124</v>
      </c>
      <c r="F21" s="25" t="s">
        <v>125</v>
      </c>
      <c r="G21" s="25" t="s">
        <v>126</v>
      </c>
      <c r="H21" s="25" t="s">
        <v>127</v>
      </c>
    </row>
    <row r="22" spans="2:8" ht="42" customHeight="1" x14ac:dyDescent="0.25">
      <c r="B22" s="38" t="s">
        <v>122</v>
      </c>
      <c r="C22" s="38" t="s">
        <v>123</v>
      </c>
      <c r="D22" s="24" t="s">
        <v>71</v>
      </c>
      <c r="E22" s="25" t="s">
        <v>128</v>
      </c>
      <c r="F22" s="25" t="s">
        <v>129</v>
      </c>
      <c r="G22" s="25" t="s">
        <v>130</v>
      </c>
      <c r="H22" s="25" t="s">
        <v>131</v>
      </c>
    </row>
  </sheetData>
  <mergeCells count="2">
    <mergeCell ref="B2:H3"/>
    <mergeCell ref="B4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37"/>
  <sheetViews>
    <sheetView showGridLines="0" zoomScaleNormal="100" workbookViewId="0">
      <selection activeCell="C40" sqref="C40"/>
    </sheetView>
  </sheetViews>
  <sheetFormatPr defaultColWidth="8.7109375" defaultRowHeight="15" x14ac:dyDescent="0.25"/>
  <cols>
    <col min="1" max="1" width="3" customWidth="1"/>
    <col min="2" max="2" width="8" customWidth="1"/>
    <col min="3" max="3" width="32" customWidth="1"/>
    <col min="4" max="4" width="28" customWidth="1"/>
    <col min="5" max="7" width="16" customWidth="1"/>
    <col min="8" max="8" width="22" customWidth="1"/>
    <col min="9" max="9" width="20" customWidth="1"/>
  </cols>
  <sheetData>
    <row r="2" spans="2:9" ht="15" customHeight="1" x14ac:dyDescent="0.25">
      <c r="B2" s="115" t="s">
        <v>132</v>
      </c>
      <c r="C2" s="115"/>
      <c r="D2" s="115"/>
      <c r="E2" s="115"/>
      <c r="F2" s="115"/>
      <c r="G2" s="115"/>
      <c r="H2" s="115"/>
      <c r="I2" s="115"/>
    </row>
    <row r="3" spans="2:9" ht="15" customHeight="1" x14ac:dyDescent="0.25">
      <c r="B3" s="115"/>
      <c r="C3" s="115"/>
      <c r="D3" s="115"/>
      <c r="E3" s="115"/>
      <c r="F3" s="115"/>
      <c r="G3" s="115"/>
      <c r="H3" s="115"/>
      <c r="I3" s="115"/>
    </row>
    <row r="4" spans="2:9" ht="15" customHeight="1" x14ac:dyDescent="0.25">
      <c r="B4" s="116" t="s">
        <v>133</v>
      </c>
      <c r="C4" s="116"/>
      <c r="D4" s="116"/>
      <c r="E4" s="116"/>
      <c r="F4" s="116"/>
      <c r="G4" s="116"/>
      <c r="H4" s="116"/>
      <c r="I4" s="116"/>
    </row>
    <row r="6" spans="2:9" ht="23.25" customHeight="1" x14ac:dyDescent="0.25">
      <c r="B6" s="15" t="s">
        <v>134</v>
      </c>
      <c r="C6" s="15" t="s">
        <v>135</v>
      </c>
      <c r="D6" s="15" t="s">
        <v>136</v>
      </c>
      <c r="E6" s="15" t="s">
        <v>137</v>
      </c>
      <c r="F6" s="15" t="s">
        <v>138</v>
      </c>
      <c r="G6" s="15" t="s">
        <v>139</v>
      </c>
      <c r="H6" s="15" t="s">
        <v>140</v>
      </c>
      <c r="I6" s="15" t="s">
        <v>141</v>
      </c>
    </row>
    <row r="7" spans="2:9" ht="34.5" customHeight="1" x14ac:dyDescent="0.25">
      <c r="B7" s="35" t="s">
        <v>142</v>
      </c>
      <c r="C7" s="39" t="s">
        <v>143</v>
      </c>
      <c r="D7" s="40" t="s">
        <v>144</v>
      </c>
      <c r="E7" s="41">
        <v>420</v>
      </c>
      <c r="F7" s="42">
        <f t="shared" ref="F7:F36" si="0">E7/5855.63*100</f>
        <v>7.1725843333680581</v>
      </c>
      <c r="G7" s="43" t="s">
        <v>145</v>
      </c>
      <c r="H7" s="40" t="s">
        <v>146</v>
      </c>
      <c r="I7" s="44"/>
    </row>
    <row r="8" spans="2:9" ht="34.5" customHeight="1" x14ac:dyDescent="0.25">
      <c r="B8" s="35" t="s">
        <v>142</v>
      </c>
      <c r="C8" s="39" t="s">
        <v>143</v>
      </c>
      <c r="D8" s="40" t="s">
        <v>147</v>
      </c>
      <c r="E8" s="41">
        <v>380</v>
      </c>
      <c r="F8" s="42">
        <f t="shared" si="0"/>
        <v>6.4894810635234803</v>
      </c>
      <c r="G8" s="43" t="s">
        <v>148</v>
      </c>
      <c r="H8" s="40" t="s">
        <v>149</v>
      </c>
      <c r="I8" s="44"/>
    </row>
    <row r="9" spans="2:9" ht="34.5" customHeight="1" x14ac:dyDescent="0.25">
      <c r="B9" s="35" t="s">
        <v>142</v>
      </c>
      <c r="C9" s="39" t="s">
        <v>143</v>
      </c>
      <c r="D9" s="40" t="s">
        <v>150</v>
      </c>
      <c r="E9" s="41">
        <v>180</v>
      </c>
      <c r="F9" s="42">
        <f t="shared" si="0"/>
        <v>3.0739647143005961</v>
      </c>
      <c r="G9" s="43" t="s">
        <v>151</v>
      </c>
      <c r="H9" s="40" t="s">
        <v>152</v>
      </c>
      <c r="I9" s="44"/>
    </row>
    <row r="10" spans="2:9" ht="34.5" customHeight="1" x14ac:dyDescent="0.25">
      <c r="B10" s="35" t="s">
        <v>142</v>
      </c>
      <c r="C10" s="39" t="s">
        <v>143</v>
      </c>
      <c r="D10" s="40" t="s">
        <v>153</v>
      </c>
      <c r="E10" s="41">
        <v>285</v>
      </c>
      <c r="F10" s="42">
        <f t="shared" si="0"/>
        <v>4.8671107976426109</v>
      </c>
      <c r="G10" s="43" t="s">
        <v>154</v>
      </c>
      <c r="H10" s="40" t="s">
        <v>155</v>
      </c>
      <c r="I10" s="44"/>
    </row>
    <row r="11" spans="2:9" ht="34.5" customHeight="1" x14ac:dyDescent="0.25">
      <c r="B11" s="35" t="s">
        <v>142</v>
      </c>
      <c r="C11" s="39" t="s">
        <v>143</v>
      </c>
      <c r="D11" s="40" t="s">
        <v>156</v>
      </c>
      <c r="E11" s="41">
        <v>95</v>
      </c>
      <c r="F11" s="42">
        <f t="shared" si="0"/>
        <v>1.6223702658808701</v>
      </c>
      <c r="G11" s="43" t="s">
        <v>157</v>
      </c>
      <c r="H11" s="40" t="s">
        <v>158</v>
      </c>
      <c r="I11" s="44"/>
    </row>
    <row r="12" spans="2:9" ht="34.5" customHeight="1" x14ac:dyDescent="0.25">
      <c r="B12" s="35" t="s">
        <v>142</v>
      </c>
      <c r="C12" s="39" t="s">
        <v>143</v>
      </c>
      <c r="D12" s="40" t="s">
        <v>159</v>
      </c>
      <c r="E12" s="41">
        <v>210</v>
      </c>
      <c r="F12" s="42">
        <f t="shared" si="0"/>
        <v>3.5862921666840291</v>
      </c>
      <c r="G12" s="43" t="s">
        <v>160</v>
      </c>
      <c r="H12" s="40" t="s">
        <v>161</v>
      </c>
      <c r="I12" s="44"/>
    </row>
    <row r="13" spans="2:9" ht="34.5" customHeight="1" x14ac:dyDescent="0.25">
      <c r="B13" s="35" t="s">
        <v>162</v>
      </c>
      <c r="C13" s="45" t="s">
        <v>163</v>
      </c>
      <c r="D13" s="40" t="s">
        <v>164</v>
      </c>
      <c r="E13" s="41">
        <v>650</v>
      </c>
      <c r="F13" s="42">
        <f t="shared" si="0"/>
        <v>11.100428134974374</v>
      </c>
      <c r="G13" s="43" t="s">
        <v>165</v>
      </c>
      <c r="H13" s="40" t="s">
        <v>166</v>
      </c>
      <c r="I13" s="44"/>
    </row>
    <row r="14" spans="2:9" ht="34.5" customHeight="1" x14ac:dyDescent="0.25">
      <c r="B14" s="35" t="s">
        <v>162</v>
      </c>
      <c r="C14" s="45" t="s">
        <v>163</v>
      </c>
      <c r="D14" s="40" t="s">
        <v>167</v>
      </c>
      <c r="E14" s="41">
        <v>320</v>
      </c>
      <c r="F14" s="42">
        <f t="shared" si="0"/>
        <v>5.4648261587566154</v>
      </c>
      <c r="G14" s="43" t="s">
        <v>168</v>
      </c>
      <c r="H14" s="40" t="s">
        <v>169</v>
      </c>
      <c r="I14" s="44"/>
    </row>
    <row r="15" spans="2:9" ht="34.5" customHeight="1" x14ac:dyDescent="0.25">
      <c r="B15" s="35" t="s">
        <v>162</v>
      </c>
      <c r="C15" s="45" t="s">
        <v>163</v>
      </c>
      <c r="D15" s="40" t="s">
        <v>170</v>
      </c>
      <c r="E15" s="41">
        <v>85</v>
      </c>
      <c r="F15" s="42">
        <f t="shared" si="0"/>
        <v>1.4515944484197261</v>
      </c>
      <c r="G15" s="43" t="s">
        <v>171</v>
      </c>
      <c r="H15" s="40" t="s">
        <v>172</v>
      </c>
      <c r="I15" s="44"/>
    </row>
    <row r="16" spans="2:9" ht="34.5" customHeight="1" x14ac:dyDescent="0.25">
      <c r="B16" s="35" t="s">
        <v>162</v>
      </c>
      <c r="C16" s="45" t="s">
        <v>163</v>
      </c>
      <c r="D16" s="40" t="s">
        <v>173</v>
      </c>
      <c r="E16" s="41">
        <v>155</v>
      </c>
      <c r="F16" s="42">
        <f t="shared" si="0"/>
        <v>2.6470251706477357</v>
      </c>
      <c r="G16" s="43" t="s">
        <v>160</v>
      </c>
      <c r="H16" s="40" t="s">
        <v>174</v>
      </c>
      <c r="I16" s="44"/>
    </row>
    <row r="17" spans="2:9" ht="34.5" customHeight="1" x14ac:dyDescent="0.25">
      <c r="B17" s="35" t="s">
        <v>175</v>
      </c>
      <c r="C17" s="46" t="s">
        <v>176</v>
      </c>
      <c r="D17" s="40" t="s">
        <v>177</v>
      </c>
      <c r="E17" s="41">
        <v>220</v>
      </c>
      <c r="F17" s="42">
        <f t="shared" si="0"/>
        <v>3.7570679841451731</v>
      </c>
      <c r="G17" s="43" t="s">
        <v>160</v>
      </c>
      <c r="H17" s="40" t="s">
        <v>178</v>
      </c>
      <c r="I17" s="44"/>
    </row>
    <row r="18" spans="2:9" ht="34.5" customHeight="1" x14ac:dyDescent="0.25">
      <c r="B18" s="35" t="s">
        <v>175</v>
      </c>
      <c r="C18" s="46" t="s">
        <v>176</v>
      </c>
      <c r="D18" s="40" t="s">
        <v>179</v>
      </c>
      <c r="E18" s="41">
        <v>110</v>
      </c>
      <c r="F18" s="42">
        <f t="shared" si="0"/>
        <v>1.8785339920725865</v>
      </c>
      <c r="G18" s="43" t="s">
        <v>180</v>
      </c>
      <c r="H18" s="40" t="s">
        <v>181</v>
      </c>
      <c r="I18" s="44"/>
    </row>
    <row r="19" spans="2:9" ht="34.5" customHeight="1" x14ac:dyDescent="0.25">
      <c r="B19" s="35" t="s">
        <v>175</v>
      </c>
      <c r="C19" s="46" t="s">
        <v>176</v>
      </c>
      <c r="D19" s="40" t="s">
        <v>182</v>
      </c>
      <c r="E19" s="41">
        <v>75</v>
      </c>
      <c r="F19" s="42">
        <f t="shared" si="0"/>
        <v>1.2808186309585818</v>
      </c>
      <c r="G19" s="43" t="s">
        <v>183</v>
      </c>
      <c r="H19" s="40" t="s">
        <v>184</v>
      </c>
      <c r="I19" s="44"/>
    </row>
    <row r="20" spans="2:9" ht="34.5" customHeight="1" x14ac:dyDescent="0.25">
      <c r="B20" s="35" t="s">
        <v>175</v>
      </c>
      <c r="C20" s="46" t="s">
        <v>176</v>
      </c>
      <c r="D20" s="40" t="s">
        <v>185</v>
      </c>
      <c r="E20" s="41">
        <v>18</v>
      </c>
      <c r="F20" s="42">
        <f t="shared" si="0"/>
        <v>0.30739647143005966</v>
      </c>
      <c r="G20" s="43" t="s">
        <v>160</v>
      </c>
      <c r="H20" s="40" t="s">
        <v>186</v>
      </c>
      <c r="I20" s="44"/>
    </row>
    <row r="21" spans="2:9" ht="34.5" customHeight="1" x14ac:dyDescent="0.25">
      <c r="B21" s="35" t="s">
        <v>187</v>
      </c>
      <c r="C21" s="47" t="s">
        <v>188</v>
      </c>
      <c r="D21" s="40" t="s">
        <v>189</v>
      </c>
      <c r="E21" s="41">
        <v>145</v>
      </c>
      <c r="F21" s="42">
        <f t="shared" si="0"/>
        <v>2.4762493531865912</v>
      </c>
      <c r="G21" s="43" t="s">
        <v>190</v>
      </c>
      <c r="H21" s="40" t="s">
        <v>191</v>
      </c>
      <c r="I21" s="44"/>
    </row>
    <row r="22" spans="2:9" ht="34.5" customHeight="1" x14ac:dyDescent="0.25">
      <c r="B22" s="35" t="s">
        <v>187</v>
      </c>
      <c r="C22" s="47" t="s">
        <v>188</v>
      </c>
      <c r="D22" s="40" t="s">
        <v>192</v>
      </c>
      <c r="E22" s="41">
        <v>200</v>
      </c>
      <c r="F22" s="42">
        <f t="shared" si="0"/>
        <v>3.4155163492228842</v>
      </c>
      <c r="G22" s="43" t="s">
        <v>151</v>
      </c>
      <c r="H22" s="40" t="s">
        <v>193</v>
      </c>
      <c r="I22" s="44"/>
    </row>
    <row r="23" spans="2:9" ht="34.5" customHeight="1" x14ac:dyDescent="0.25">
      <c r="B23" s="35" t="s">
        <v>187</v>
      </c>
      <c r="C23" s="47" t="s">
        <v>188</v>
      </c>
      <c r="D23" s="40" t="s">
        <v>194</v>
      </c>
      <c r="E23" s="41">
        <v>42</v>
      </c>
      <c r="F23" s="42">
        <f t="shared" si="0"/>
        <v>0.71725843333680572</v>
      </c>
      <c r="G23" s="43" t="s">
        <v>195</v>
      </c>
      <c r="H23" s="40" t="s">
        <v>196</v>
      </c>
      <c r="I23" s="44"/>
    </row>
    <row r="24" spans="2:9" ht="34.5" customHeight="1" x14ac:dyDescent="0.25">
      <c r="B24" s="35" t="s">
        <v>197</v>
      </c>
      <c r="C24" s="48" t="s">
        <v>198</v>
      </c>
      <c r="D24" s="40" t="s">
        <v>199</v>
      </c>
      <c r="E24" s="41">
        <v>120</v>
      </c>
      <c r="F24" s="42">
        <f t="shared" si="0"/>
        <v>2.0493098095337308</v>
      </c>
      <c r="G24" s="43" t="s">
        <v>160</v>
      </c>
      <c r="H24" s="40" t="s">
        <v>200</v>
      </c>
      <c r="I24" s="44"/>
    </row>
    <row r="25" spans="2:9" ht="34.5" customHeight="1" x14ac:dyDescent="0.25">
      <c r="B25" s="35" t="s">
        <v>197</v>
      </c>
      <c r="C25" s="48" t="s">
        <v>198</v>
      </c>
      <c r="D25" s="40" t="s">
        <v>201</v>
      </c>
      <c r="E25" s="41">
        <v>350</v>
      </c>
      <c r="F25" s="42">
        <f t="shared" si="0"/>
        <v>5.9771536111400483</v>
      </c>
      <c r="G25" s="43" t="s">
        <v>183</v>
      </c>
      <c r="H25" s="40" t="s">
        <v>202</v>
      </c>
      <c r="I25" s="44"/>
    </row>
    <row r="26" spans="2:9" ht="34.5" customHeight="1" x14ac:dyDescent="0.25">
      <c r="B26" s="35" t="s">
        <v>197</v>
      </c>
      <c r="C26" s="48" t="s">
        <v>198</v>
      </c>
      <c r="D26" s="40" t="s">
        <v>203</v>
      </c>
      <c r="E26" s="41">
        <v>95</v>
      </c>
      <c r="F26" s="42">
        <f t="shared" si="0"/>
        <v>1.6223702658808701</v>
      </c>
      <c r="G26" s="43" t="s">
        <v>160</v>
      </c>
      <c r="H26" s="40" t="s">
        <v>204</v>
      </c>
      <c r="I26" s="44"/>
    </row>
    <row r="27" spans="2:9" ht="34.5" customHeight="1" x14ac:dyDescent="0.25">
      <c r="B27" s="35" t="s">
        <v>197</v>
      </c>
      <c r="C27" s="48" t="s">
        <v>198</v>
      </c>
      <c r="D27" s="40" t="s">
        <v>205</v>
      </c>
      <c r="E27" s="41">
        <v>32</v>
      </c>
      <c r="F27" s="42">
        <f t="shared" si="0"/>
        <v>0.54648261587566149</v>
      </c>
      <c r="G27" s="43" t="s">
        <v>206</v>
      </c>
      <c r="H27" s="40" t="s">
        <v>207</v>
      </c>
      <c r="I27" s="44"/>
    </row>
    <row r="28" spans="2:9" ht="34.5" customHeight="1" x14ac:dyDescent="0.25">
      <c r="B28" s="35" t="s">
        <v>208</v>
      </c>
      <c r="C28" s="49" t="s">
        <v>209</v>
      </c>
      <c r="D28" s="40" t="s">
        <v>210</v>
      </c>
      <c r="E28" s="41">
        <v>185</v>
      </c>
      <c r="F28" s="42">
        <f t="shared" si="0"/>
        <v>3.1593526230311682</v>
      </c>
      <c r="G28" s="43" t="s">
        <v>211</v>
      </c>
      <c r="H28" s="40" t="s">
        <v>212</v>
      </c>
      <c r="I28" s="44"/>
    </row>
    <row r="29" spans="2:9" ht="34.5" customHeight="1" x14ac:dyDescent="0.25">
      <c r="B29" s="35" t="s">
        <v>208</v>
      </c>
      <c r="C29" s="49" t="s">
        <v>209</v>
      </c>
      <c r="D29" s="40" t="s">
        <v>213</v>
      </c>
      <c r="E29" s="41">
        <v>68</v>
      </c>
      <c r="F29" s="42">
        <f t="shared" si="0"/>
        <v>1.1612755587357808</v>
      </c>
      <c r="G29" s="43" t="s">
        <v>214</v>
      </c>
      <c r="H29" s="40" t="s">
        <v>215</v>
      </c>
      <c r="I29" s="44"/>
    </row>
    <row r="30" spans="2:9" ht="34.5" customHeight="1" x14ac:dyDescent="0.25">
      <c r="B30" s="35" t="s">
        <v>208</v>
      </c>
      <c r="C30" s="49" t="s">
        <v>209</v>
      </c>
      <c r="D30" s="40" t="s">
        <v>216</v>
      </c>
      <c r="E30" s="41">
        <v>45</v>
      </c>
      <c r="F30" s="42">
        <f t="shared" si="0"/>
        <v>0.76849117857514904</v>
      </c>
      <c r="G30" s="43" t="s">
        <v>160</v>
      </c>
      <c r="H30" s="40" t="s">
        <v>217</v>
      </c>
      <c r="I30" s="44"/>
    </row>
    <row r="31" spans="2:9" ht="34.5" customHeight="1" x14ac:dyDescent="0.25">
      <c r="B31" s="35" t="s">
        <v>218</v>
      </c>
      <c r="C31" s="45" t="s">
        <v>219</v>
      </c>
      <c r="D31" s="40" t="s">
        <v>220</v>
      </c>
      <c r="E31" s="41">
        <v>280</v>
      </c>
      <c r="F31" s="42">
        <f t="shared" si="0"/>
        <v>4.7817228889120384</v>
      </c>
      <c r="G31" s="43" t="s">
        <v>221</v>
      </c>
      <c r="H31" s="40" t="s">
        <v>222</v>
      </c>
      <c r="I31" s="44"/>
    </row>
    <row r="32" spans="2:9" ht="34.5" customHeight="1" x14ac:dyDescent="0.25">
      <c r="B32" s="35" t="s">
        <v>218</v>
      </c>
      <c r="C32" s="45" t="s">
        <v>219</v>
      </c>
      <c r="D32" s="40" t="s">
        <v>223</v>
      </c>
      <c r="E32" s="41">
        <v>95</v>
      </c>
      <c r="F32" s="42">
        <f t="shared" si="0"/>
        <v>1.6223702658808701</v>
      </c>
      <c r="G32" s="43" t="s">
        <v>224</v>
      </c>
      <c r="H32" s="40" t="s">
        <v>225</v>
      </c>
      <c r="I32" s="44"/>
    </row>
    <row r="33" spans="2:9" ht="34.5" customHeight="1" x14ac:dyDescent="0.25">
      <c r="B33" s="35" t="s">
        <v>218</v>
      </c>
      <c r="C33" s="45" t="s">
        <v>219</v>
      </c>
      <c r="D33" s="40" t="s">
        <v>226</v>
      </c>
      <c r="E33" s="41">
        <v>55</v>
      </c>
      <c r="F33" s="42">
        <f t="shared" si="0"/>
        <v>0.93926699603629327</v>
      </c>
      <c r="G33" s="43" t="s">
        <v>160</v>
      </c>
      <c r="H33" s="40" t="s">
        <v>227</v>
      </c>
      <c r="I33" s="44"/>
    </row>
    <row r="34" spans="2:9" ht="34.5" customHeight="1" x14ac:dyDescent="0.25">
      <c r="B34" s="35" t="s">
        <v>228</v>
      </c>
      <c r="C34" s="46" t="s">
        <v>229</v>
      </c>
      <c r="D34" s="40" t="s">
        <v>230</v>
      </c>
      <c r="E34" s="41">
        <v>200</v>
      </c>
      <c r="F34" s="42">
        <f t="shared" si="0"/>
        <v>3.4155163492228842</v>
      </c>
      <c r="G34" s="43" t="s">
        <v>231</v>
      </c>
      <c r="H34" s="40" t="s">
        <v>232</v>
      </c>
      <c r="I34" s="44"/>
    </row>
    <row r="35" spans="2:9" ht="34.5" customHeight="1" x14ac:dyDescent="0.25">
      <c r="B35" s="35" t="s">
        <v>228</v>
      </c>
      <c r="C35" s="46" t="s">
        <v>229</v>
      </c>
      <c r="D35" s="40" t="s">
        <v>233</v>
      </c>
      <c r="E35" s="41">
        <v>390</v>
      </c>
      <c r="F35" s="42">
        <f t="shared" si="0"/>
        <v>6.6602568809846243</v>
      </c>
      <c r="G35" s="43" t="s">
        <v>160</v>
      </c>
      <c r="H35" s="40" t="s">
        <v>234</v>
      </c>
      <c r="I35" s="44"/>
    </row>
    <row r="36" spans="2:9" ht="34.5" customHeight="1" x14ac:dyDescent="0.25">
      <c r="B36" s="35" t="s">
        <v>228</v>
      </c>
      <c r="C36" s="46" t="s">
        <v>229</v>
      </c>
      <c r="D36" s="40" t="s">
        <v>235</v>
      </c>
      <c r="E36" s="41">
        <v>350.63</v>
      </c>
      <c r="F36" s="42">
        <f t="shared" si="0"/>
        <v>5.9879124876400995</v>
      </c>
      <c r="G36" s="43" t="s">
        <v>160</v>
      </c>
      <c r="H36" s="40" t="s">
        <v>236</v>
      </c>
      <c r="I36" s="44"/>
    </row>
    <row r="37" spans="2:9" ht="27.75" customHeight="1" x14ac:dyDescent="0.25">
      <c r="B37" s="117" t="s">
        <v>237</v>
      </c>
      <c r="C37" s="117"/>
      <c r="D37" s="117"/>
      <c r="E37" s="50">
        <f>SUM(E7:E36)</f>
        <v>5855.63</v>
      </c>
      <c r="F37" s="51" t="s">
        <v>238</v>
      </c>
      <c r="G37" s="52"/>
      <c r="H37" s="52"/>
      <c r="I37" s="52"/>
    </row>
  </sheetData>
  <mergeCells count="3">
    <mergeCell ref="B2:I3"/>
    <mergeCell ref="B4:I4"/>
    <mergeCell ref="B37:D3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42"/>
  <sheetViews>
    <sheetView showGridLines="0" zoomScaleNormal="100" workbookViewId="0">
      <selection activeCell="H42" sqref="H42"/>
    </sheetView>
  </sheetViews>
  <sheetFormatPr defaultColWidth="8.7109375" defaultRowHeight="15" x14ac:dyDescent="0.25"/>
  <cols>
    <col min="1" max="1" width="3" customWidth="1"/>
    <col min="2" max="2" width="32" customWidth="1"/>
    <col min="3" max="3" width="12" customWidth="1"/>
    <col min="4" max="4" width="22" customWidth="1"/>
    <col min="5" max="5" width="20" customWidth="1"/>
    <col min="6" max="6" width="12" customWidth="1"/>
    <col min="7" max="7" width="14" customWidth="1"/>
    <col min="8" max="8" width="28" customWidth="1"/>
    <col min="9" max="9" width="18" customWidth="1"/>
    <col min="10" max="10" width="14" customWidth="1"/>
    <col min="11" max="11" width="20" customWidth="1"/>
  </cols>
  <sheetData>
    <row r="2" spans="2:11" ht="15" customHeight="1" x14ac:dyDescent="0.25">
      <c r="B2" s="115" t="s">
        <v>239</v>
      </c>
      <c r="C2" s="115"/>
      <c r="D2" s="115"/>
      <c r="E2" s="115"/>
      <c r="F2" s="115"/>
      <c r="G2" s="115"/>
      <c r="H2" s="115"/>
      <c r="I2" s="115"/>
      <c r="J2" s="115"/>
      <c r="K2" s="115"/>
    </row>
    <row r="3" spans="2:11" ht="15" customHeight="1" x14ac:dyDescent="0.25">
      <c r="B3" s="115"/>
      <c r="C3" s="115"/>
      <c r="D3" s="115"/>
      <c r="E3" s="115"/>
      <c r="F3" s="115"/>
      <c r="G3" s="115"/>
      <c r="H3" s="115"/>
      <c r="I3" s="115"/>
      <c r="J3" s="115"/>
      <c r="K3" s="115"/>
    </row>
    <row r="4" spans="2:11" ht="15" customHeight="1" x14ac:dyDescent="0.25">
      <c r="B4" s="116" t="s">
        <v>240</v>
      </c>
      <c r="C4" s="116"/>
      <c r="D4" s="116"/>
      <c r="E4" s="116"/>
      <c r="F4" s="116"/>
      <c r="G4" s="116"/>
      <c r="H4" s="116"/>
      <c r="I4" s="116"/>
      <c r="J4" s="116"/>
      <c r="K4" s="116"/>
    </row>
    <row r="5" spans="2:11" ht="15" customHeight="1" x14ac:dyDescent="0.25">
      <c r="B5" s="118" t="s">
        <v>241</v>
      </c>
      <c r="C5" s="118"/>
      <c r="D5" s="118"/>
      <c r="E5" s="118"/>
      <c r="F5" s="118"/>
      <c r="G5" s="118"/>
      <c r="H5" s="118"/>
      <c r="I5" s="118"/>
      <c r="J5" s="118"/>
      <c r="K5" s="118"/>
    </row>
    <row r="6" spans="2:11" ht="15" customHeight="1" x14ac:dyDescent="0.25">
      <c r="B6" s="119" t="s">
        <v>242</v>
      </c>
      <c r="C6" s="119"/>
      <c r="D6" s="120" t="s">
        <v>243</v>
      </c>
      <c r="E6" s="120"/>
      <c r="F6" s="120"/>
      <c r="G6" s="120"/>
      <c r="H6" s="120"/>
      <c r="I6" s="120"/>
      <c r="J6" s="120"/>
      <c r="K6" s="120"/>
    </row>
    <row r="7" spans="2:11" ht="15" customHeight="1" x14ac:dyDescent="0.25">
      <c r="B7" s="121" t="s">
        <v>244</v>
      </c>
      <c r="C7" s="121"/>
      <c r="D7" s="122" t="s">
        <v>245</v>
      </c>
      <c r="E7" s="122"/>
      <c r="F7" s="122"/>
      <c r="G7" s="122"/>
      <c r="H7" s="122"/>
      <c r="I7" s="122"/>
      <c r="J7" s="122"/>
      <c r="K7" s="122"/>
    </row>
    <row r="8" spans="2:11" ht="15" customHeight="1" x14ac:dyDescent="0.25">
      <c r="B8" s="123" t="s">
        <v>246</v>
      </c>
      <c r="C8" s="123"/>
      <c r="D8" s="124" t="s">
        <v>247</v>
      </c>
      <c r="E8" s="124"/>
      <c r="F8" s="124"/>
      <c r="G8" s="124"/>
      <c r="H8" s="124"/>
      <c r="I8" s="124"/>
      <c r="J8" s="124"/>
      <c r="K8" s="124"/>
    </row>
    <row r="9" spans="2:11" ht="15" customHeight="1" x14ac:dyDescent="0.25">
      <c r="B9" s="125" t="s">
        <v>248</v>
      </c>
      <c r="C9" s="125"/>
      <c r="D9" s="126" t="s">
        <v>249</v>
      </c>
      <c r="E9" s="126"/>
      <c r="F9" s="126"/>
      <c r="G9" s="126"/>
      <c r="H9" s="126"/>
      <c r="I9" s="126"/>
      <c r="J9" s="126"/>
      <c r="K9" s="126"/>
    </row>
    <row r="11" spans="2:11" ht="21.75" customHeight="1" x14ac:dyDescent="0.25">
      <c r="B11" s="35" t="s">
        <v>136</v>
      </c>
      <c r="C11" s="35" t="s">
        <v>250</v>
      </c>
      <c r="D11" s="35" t="s">
        <v>251</v>
      </c>
      <c r="E11" s="35" t="s">
        <v>252</v>
      </c>
      <c r="F11" s="35" t="s">
        <v>253</v>
      </c>
      <c r="G11" s="35" t="s">
        <v>254</v>
      </c>
      <c r="H11" s="35" t="s">
        <v>255</v>
      </c>
      <c r="I11" s="35" t="s">
        <v>256</v>
      </c>
      <c r="J11" s="35" t="s">
        <v>257</v>
      </c>
      <c r="K11" s="35" t="s">
        <v>258</v>
      </c>
    </row>
    <row r="12" spans="2:11" ht="42" customHeight="1" x14ac:dyDescent="0.25">
      <c r="B12" s="40" t="s">
        <v>259</v>
      </c>
      <c r="C12" s="41">
        <v>420</v>
      </c>
      <c r="D12" s="20" t="s">
        <v>260</v>
      </c>
      <c r="E12" s="53" t="s">
        <v>63</v>
      </c>
      <c r="F12" s="54" t="s">
        <v>242</v>
      </c>
      <c r="G12" s="55">
        <v>420</v>
      </c>
      <c r="H12" s="40" t="s">
        <v>261</v>
      </c>
      <c r="I12" s="24" t="s">
        <v>262</v>
      </c>
      <c r="J12" s="38" t="s">
        <v>263</v>
      </c>
      <c r="K12" s="56" t="s">
        <v>264</v>
      </c>
    </row>
    <row r="13" spans="2:11" ht="42" customHeight="1" x14ac:dyDescent="0.25">
      <c r="B13" s="40" t="s">
        <v>265</v>
      </c>
      <c r="C13" s="41">
        <v>380</v>
      </c>
      <c r="D13" s="20" t="s">
        <v>260</v>
      </c>
      <c r="E13" s="53" t="s">
        <v>63</v>
      </c>
      <c r="F13" s="54" t="s">
        <v>242</v>
      </c>
      <c r="G13" s="55">
        <v>380</v>
      </c>
      <c r="H13" s="40" t="s">
        <v>266</v>
      </c>
      <c r="I13" s="24" t="s">
        <v>262</v>
      </c>
      <c r="J13" s="38" t="s">
        <v>263</v>
      </c>
      <c r="K13" s="56" t="s">
        <v>267</v>
      </c>
    </row>
    <row r="14" spans="2:11" ht="42" customHeight="1" x14ac:dyDescent="0.25">
      <c r="B14" s="40" t="s">
        <v>268</v>
      </c>
      <c r="C14" s="41">
        <v>180</v>
      </c>
      <c r="D14" s="20" t="s">
        <v>260</v>
      </c>
      <c r="E14" s="53" t="s">
        <v>63</v>
      </c>
      <c r="F14" s="57" t="s">
        <v>244</v>
      </c>
      <c r="G14" s="58">
        <v>144</v>
      </c>
      <c r="H14" s="40" t="s">
        <v>269</v>
      </c>
      <c r="I14" s="30" t="s">
        <v>270</v>
      </c>
      <c r="J14" s="23" t="s">
        <v>271</v>
      </c>
      <c r="K14" s="56" t="s">
        <v>272</v>
      </c>
    </row>
    <row r="15" spans="2:11" ht="42" customHeight="1" x14ac:dyDescent="0.25">
      <c r="B15" s="40" t="s">
        <v>273</v>
      </c>
      <c r="C15" s="41">
        <v>285</v>
      </c>
      <c r="D15" s="20" t="s">
        <v>260</v>
      </c>
      <c r="E15" s="53" t="s">
        <v>63</v>
      </c>
      <c r="F15" s="54" t="s">
        <v>242</v>
      </c>
      <c r="G15" s="55">
        <v>285</v>
      </c>
      <c r="H15" s="40" t="s">
        <v>274</v>
      </c>
      <c r="I15" s="24" t="s">
        <v>262</v>
      </c>
      <c r="J15" s="38" t="s">
        <v>263</v>
      </c>
      <c r="K15" s="56" t="s">
        <v>275</v>
      </c>
    </row>
    <row r="16" spans="2:11" ht="42" customHeight="1" x14ac:dyDescent="0.25">
      <c r="B16" s="40" t="s">
        <v>276</v>
      </c>
      <c r="C16" s="41">
        <v>95</v>
      </c>
      <c r="D16" s="20" t="s">
        <v>260</v>
      </c>
      <c r="E16" s="53" t="s">
        <v>63</v>
      </c>
      <c r="F16" s="54" t="s">
        <v>242</v>
      </c>
      <c r="G16" s="55">
        <v>95</v>
      </c>
      <c r="H16" s="40" t="s">
        <v>277</v>
      </c>
      <c r="I16" s="24" t="s">
        <v>262</v>
      </c>
      <c r="J16" s="38" t="s">
        <v>263</v>
      </c>
      <c r="K16" s="56" t="s">
        <v>278</v>
      </c>
    </row>
    <row r="17" spans="2:11" ht="42" customHeight="1" x14ac:dyDescent="0.25">
      <c r="B17" s="40" t="s">
        <v>159</v>
      </c>
      <c r="C17" s="41">
        <v>210</v>
      </c>
      <c r="D17" s="20" t="s">
        <v>260</v>
      </c>
      <c r="E17" s="53" t="s">
        <v>63</v>
      </c>
      <c r="F17" s="57" t="s">
        <v>244</v>
      </c>
      <c r="G17" s="58">
        <v>105</v>
      </c>
      <c r="H17" s="40" t="s">
        <v>279</v>
      </c>
      <c r="I17" s="30" t="s">
        <v>270</v>
      </c>
      <c r="J17" s="29" t="s">
        <v>280</v>
      </c>
      <c r="K17" s="56" t="s">
        <v>281</v>
      </c>
    </row>
    <row r="18" spans="2:11" ht="42" customHeight="1" x14ac:dyDescent="0.25">
      <c r="B18" s="40" t="s">
        <v>282</v>
      </c>
      <c r="C18" s="41">
        <v>650</v>
      </c>
      <c r="D18" s="26" t="s">
        <v>283</v>
      </c>
      <c r="E18" s="59" t="s">
        <v>63</v>
      </c>
      <c r="F18" s="57" t="s">
        <v>244</v>
      </c>
      <c r="G18" s="58">
        <v>195</v>
      </c>
      <c r="H18" s="40" t="s">
        <v>284</v>
      </c>
      <c r="I18" s="30" t="s">
        <v>270</v>
      </c>
      <c r="J18" s="23" t="s">
        <v>271</v>
      </c>
      <c r="K18" s="56" t="s">
        <v>285</v>
      </c>
    </row>
    <row r="19" spans="2:11" ht="42" customHeight="1" x14ac:dyDescent="0.25">
      <c r="B19" s="40" t="s">
        <v>286</v>
      </c>
      <c r="C19" s="41">
        <v>320</v>
      </c>
      <c r="D19" s="26" t="s">
        <v>283</v>
      </c>
      <c r="E19" s="59" t="s">
        <v>63</v>
      </c>
      <c r="F19" s="57" t="s">
        <v>244</v>
      </c>
      <c r="G19" s="58">
        <v>192</v>
      </c>
      <c r="H19" s="40" t="s">
        <v>287</v>
      </c>
      <c r="I19" s="30" t="s">
        <v>270</v>
      </c>
      <c r="J19" s="23" t="s">
        <v>271</v>
      </c>
      <c r="K19" s="56" t="s">
        <v>288</v>
      </c>
    </row>
    <row r="20" spans="2:11" ht="42" customHeight="1" x14ac:dyDescent="0.25">
      <c r="B20" s="40" t="s">
        <v>170</v>
      </c>
      <c r="C20" s="41">
        <v>85</v>
      </c>
      <c r="D20" s="35" t="s">
        <v>289</v>
      </c>
      <c r="E20" s="60" t="s">
        <v>63</v>
      </c>
      <c r="F20" s="54" t="s">
        <v>242</v>
      </c>
      <c r="G20" s="55">
        <v>85</v>
      </c>
      <c r="H20" s="40" t="s">
        <v>290</v>
      </c>
      <c r="I20" s="24" t="s">
        <v>262</v>
      </c>
      <c r="J20" s="23" t="s">
        <v>271</v>
      </c>
      <c r="K20" s="56" t="s">
        <v>291</v>
      </c>
    </row>
    <row r="21" spans="2:11" ht="42" customHeight="1" x14ac:dyDescent="0.25">
      <c r="B21" s="40" t="s">
        <v>173</v>
      </c>
      <c r="C21" s="41">
        <v>155</v>
      </c>
      <c r="D21" s="26" t="s">
        <v>283</v>
      </c>
      <c r="E21" s="59" t="s">
        <v>63</v>
      </c>
      <c r="F21" s="61" t="s">
        <v>246</v>
      </c>
      <c r="G21" s="62">
        <v>0</v>
      </c>
      <c r="H21" s="40" t="s">
        <v>292</v>
      </c>
      <c r="I21" s="27" t="s">
        <v>293</v>
      </c>
      <c r="J21" s="32" t="s">
        <v>294</v>
      </c>
      <c r="K21" s="56" t="s">
        <v>295</v>
      </c>
    </row>
    <row r="22" spans="2:11" ht="42" customHeight="1" x14ac:dyDescent="0.25">
      <c r="B22" s="40" t="s">
        <v>296</v>
      </c>
      <c r="C22" s="41">
        <v>220</v>
      </c>
      <c r="D22" s="26" t="s">
        <v>283</v>
      </c>
      <c r="E22" s="59" t="s">
        <v>71</v>
      </c>
      <c r="F22" s="57" t="s">
        <v>244</v>
      </c>
      <c r="G22" s="58">
        <v>66</v>
      </c>
      <c r="H22" s="40" t="s">
        <v>297</v>
      </c>
      <c r="I22" s="30" t="s">
        <v>270</v>
      </c>
      <c r="J22" s="29" t="s">
        <v>280</v>
      </c>
      <c r="K22" s="56" t="s">
        <v>298</v>
      </c>
    </row>
    <row r="23" spans="2:11" ht="42" customHeight="1" x14ac:dyDescent="0.25">
      <c r="B23" s="40" t="s">
        <v>299</v>
      </c>
      <c r="C23" s="41">
        <v>110</v>
      </c>
      <c r="D23" s="23" t="s">
        <v>300</v>
      </c>
      <c r="E23" s="63" t="s">
        <v>63</v>
      </c>
      <c r="F23" s="54" t="s">
        <v>242</v>
      </c>
      <c r="G23" s="55">
        <v>110</v>
      </c>
      <c r="H23" s="40" t="s">
        <v>301</v>
      </c>
      <c r="I23" s="24" t="s">
        <v>262</v>
      </c>
      <c r="J23" s="38" t="s">
        <v>263</v>
      </c>
      <c r="K23" s="56" t="s">
        <v>302</v>
      </c>
    </row>
    <row r="24" spans="2:11" ht="42" customHeight="1" x14ac:dyDescent="0.25">
      <c r="B24" s="40" t="s">
        <v>182</v>
      </c>
      <c r="C24" s="41">
        <v>75</v>
      </c>
      <c r="D24" s="23" t="s">
        <v>300</v>
      </c>
      <c r="E24" s="63" t="s">
        <v>63</v>
      </c>
      <c r="F24" s="54" t="s">
        <v>242</v>
      </c>
      <c r="G24" s="55">
        <v>75</v>
      </c>
      <c r="H24" s="40" t="s">
        <v>303</v>
      </c>
      <c r="I24" s="24" t="s">
        <v>262</v>
      </c>
      <c r="J24" s="38" t="s">
        <v>263</v>
      </c>
      <c r="K24" s="56" t="s">
        <v>304</v>
      </c>
    </row>
    <row r="25" spans="2:11" ht="42" customHeight="1" x14ac:dyDescent="0.25">
      <c r="B25" s="40" t="s">
        <v>305</v>
      </c>
      <c r="C25" s="41">
        <v>18</v>
      </c>
      <c r="D25" s="38" t="s">
        <v>306</v>
      </c>
      <c r="E25" s="64" t="s">
        <v>71</v>
      </c>
      <c r="F25" s="65" t="s">
        <v>248</v>
      </c>
      <c r="G25" s="66">
        <v>18</v>
      </c>
      <c r="H25" s="40" t="s">
        <v>307</v>
      </c>
      <c r="I25" s="24" t="s">
        <v>262</v>
      </c>
      <c r="J25" s="38" t="s">
        <v>263</v>
      </c>
      <c r="K25" s="56" t="s">
        <v>308</v>
      </c>
    </row>
    <row r="26" spans="2:11" ht="42" customHeight="1" x14ac:dyDescent="0.25">
      <c r="B26" s="40" t="s">
        <v>309</v>
      </c>
      <c r="C26" s="41">
        <v>145</v>
      </c>
      <c r="D26" s="32" t="s">
        <v>310</v>
      </c>
      <c r="E26" s="67" t="s">
        <v>63</v>
      </c>
      <c r="F26" s="54" t="s">
        <v>242</v>
      </c>
      <c r="G26" s="55">
        <v>145</v>
      </c>
      <c r="H26" s="40" t="s">
        <v>311</v>
      </c>
      <c r="I26" s="24" t="s">
        <v>262</v>
      </c>
      <c r="J26" s="23" t="s">
        <v>271</v>
      </c>
      <c r="K26" s="56" t="s">
        <v>312</v>
      </c>
    </row>
    <row r="27" spans="2:11" ht="42" customHeight="1" x14ac:dyDescent="0.25">
      <c r="B27" s="40" t="s">
        <v>313</v>
      </c>
      <c r="C27" s="41">
        <v>200</v>
      </c>
      <c r="D27" s="32" t="s">
        <v>310</v>
      </c>
      <c r="E27" s="67" t="s">
        <v>63</v>
      </c>
      <c r="F27" s="57" t="s">
        <v>244</v>
      </c>
      <c r="G27" s="58">
        <v>120</v>
      </c>
      <c r="H27" s="40" t="s">
        <v>314</v>
      </c>
      <c r="I27" s="30" t="s">
        <v>270</v>
      </c>
      <c r="J27" s="23" t="s">
        <v>271</v>
      </c>
      <c r="K27" s="56" t="s">
        <v>315</v>
      </c>
    </row>
    <row r="28" spans="2:11" ht="42" customHeight="1" x14ac:dyDescent="0.25">
      <c r="B28" s="40" t="s">
        <v>316</v>
      </c>
      <c r="C28" s="41">
        <v>42</v>
      </c>
      <c r="D28" s="32" t="s">
        <v>310</v>
      </c>
      <c r="E28" s="67" t="s">
        <v>63</v>
      </c>
      <c r="F28" s="54" t="s">
        <v>242</v>
      </c>
      <c r="G28" s="55">
        <v>42</v>
      </c>
      <c r="H28" s="40" t="s">
        <v>317</v>
      </c>
      <c r="I28" s="24" t="s">
        <v>262</v>
      </c>
      <c r="J28" s="38" t="s">
        <v>263</v>
      </c>
      <c r="K28" s="56" t="s">
        <v>318</v>
      </c>
    </row>
    <row r="29" spans="2:11" ht="42" customHeight="1" x14ac:dyDescent="0.25">
      <c r="B29" s="40" t="s">
        <v>319</v>
      </c>
      <c r="C29" s="41">
        <v>120</v>
      </c>
      <c r="D29" s="26" t="s">
        <v>283</v>
      </c>
      <c r="E29" s="59" t="s">
        <v>63</v>
      </c>
      <c r="F29" s="61" t="s">
        <v>246</v>
      </c>
      <c r="G29" s="62">
        <v>0</v>
      </c>
      <c r="H29" s="40" t="s">
        <v>320</v>
      </c>
      <c r="I29" s="27" t="s">
        <v>293</v>
      </c>
      <c r="J29" s="32" t="s">
        <v>294</v>
      </c>
      <c r="K29" s="56" t="s">
        <v>295</v>
      </c>
    </row>
    <row r="30" spans="2:11" ht="42" customHeight="1" x14ac:dyDescent="0.25">
      <c r="B30" s="40" t="s">
        <v>321</v>
      </c>
      <c r="C30" s="41">
        <v>350</v>
      </c>
      <c r="D30" s="26" t="s">
        <v>283</v>
      </c>
      <c r="E30" s="59" t="s">
        <v>63</v>
      </c>
      <c r="F30" s="61" t="s">
        <v>246</v>
      </c>
      <c r="G30" s="62">
        <v>0</v>
      </c>
      <c r="H30" s="40" t="s">
        <v>322</v>
      </c>
      <c r="I30" s="27" t="s">
        <v>293</v>
      </c>
      <c r="J30" s="32" t="s">
        <v>294</v>
      </c>
      <c r="K30" s="56" t="s">
        <v>323</v>
      </c>
    </row>
    <row r="31" spans="2:11" ht="42" customHeight="1" x14ac:dyDescent="0.25">
      <c r="B31" s="40" t="s">
        <v>324</v>
      </c>
      <c r="C31" s="41">
        <v>95</v>
      </c>
      <c r="D31" s="38" t="s">
        <v>306</v>
      </c>
      <c r="E31" s="64" t="s">
        <v>71</v>
      </c>
      <c r="F31" s="57" t="s">
        <v>244</v>
      </c>
      <c r="G31" s="58">
        <v>28.5</v>
      </c>
      <c r="H31" s="40" t="s">
        <v>325</v>
      </c>
      <c r="I31" s="30" t="s">
        <v>270</v>
      </c>
      <c r="J31" s="29" t="s">
        <v>280</v>
      </c>
      <c r="K31" s="56" t="s">
        <v>326</v>
      </c>
    </row>
    <row r="32" spans="2:11" ht="42" customHeight="1" x14ac:dyDescent="0.25">
      <c r="B32" s="40" t="s">
        <v>205</v>
      </c>
      <c r="C32" s="41">
        <v>32</v>
      </c>
      <c r="D32" s="20" t="s">
        <v>260</v>
      </c>
      <c r="E32" s="53" t="s">
        <v>63</v>
      </c>
      <c r="F32" s="54" t="s">
        <v>242</v>
      </c>
      <c r="G32" s="55">
        <v>32</v>
      </c>
      <c r="H32" s="40" t="s">
        <v>327</v>
      </c>
      <c r="I32" s="24" t="s">
        <v>262</v>
      </c>
      <c r="J32" s="23" t="s">
        <v>271</v>
      </c>
      <c r="K32" s="56" t="s">
        <v>328</v>
      </c>
    </row>
    <row r="33" spans="2:11" ht="42" customHeight="1" x14ac:dyDescent="0.25">
      <c r="B33" s="40" t="s">
        <v>329</v>
      </c>
      <c r="C33" s="41">
        <v>185</v>
      </c>
      <c r="D33" s="35" t="s">
        <v>289</v>
      </c>
      <c r="E33" s="60" t="s">
        <v>63</v>
      </c>
      <c r="F33" s="54" t="s">
        <v>242</v>
      </c>
      <c r="G33" s="55">
        <v>185</v>
      </c>
      <c r="H33" s="40" t="s">
        <v>330</v>
      </c>
      <c r="I33" s="24" t="s">
        <v>262</v>
      </c>
      <c r="J33" s="38" t="s">
        <v>263</v>
      </c>
      <c r="K33" s="56" t="s">
        <v>331</v>
      </c>
    </row>
    <row r="34" spans="2:11" ht="42" customHeight="1" x14ac:dyDescent="0.25">
      <c r="B34" s="40" t="s">
        <v>332</v>
      </c>
      <c r="C34" s="41">
        <v>68</v>
      </c>
      <c r="D34" s="35" t="s">
        <v>289</v>
      </c>
      <c r="E34" s="60" t="s">
        <v>63</v>
      </c>
      <c r="F34" s="54" t="s">
        <v>242</v>
      </c>
      <c r="G34" s="55">
        <v>68</v>
      </c>
      <c r="H34" s="40" t="s">
        <v>333</v>
      </c>
      <c r="I34" s="24" t="s">
        <v>262</v>
      </c>
      <c r="J34" s="23" t="s">
        <v>271</v>
      </c>
      <c r="K34" s="56" t="s">
        <v>334</v>
      </c>
    </row>
    <row r="35" spans="2:11" ht="42" customHeight="1" x14ac:dyDescent="0.25">
      <c r="B35" s="40" t="s">
        <v>335</v>
      </c>
      <c r="C35" s="41">
        <v>45</v>
      </c>
      <c r="D35" s="35" t="s">
        <v>289</v>
      </c>
      <c r="E35" s="60" t="s">
        <v>63</v>
      </c>
      <c r="F35" s="54" t="s">
        <v>242</v>
      </c>
      <c r="G35" s="55">
        <v>45</v>
      </c>
      <c r="H35" s="40" t="s">
        <v>336</v>
      </c>
      <c r="I35" s="24" t="s">
        <v>262</v>
      </c>
      <c r="J35" s="38" t="s">
        <v>263</v>
      </c>
      <c r="K35" s="56" t="s">
        <v>337</v>
      </c>
    </row>
    <row r="36" spans="2:11" ht="42" customHeight="1" x14ac:dyDescent="0.25">
      <c r="B36" s="40" t="s">
        <v>338</v>
      </c>
      <c r="C36" s="41">
        <v>280</v>
      </c>
      <c r="D36" s="38" t="s">
        <v>306</v>
      </c>
      <c r="E36" s="64" t="s">
        <v>71</v>
      </c>
      <c r="F36" s="57" t="s">
        <v>244</v>
      </c>
      <c r="G36" s="58">
        <v>56</v>
      </c>
      <c r="H36" s="40" t="s">
        <v>339</v>
      </c>
      <c r="I36" s="30" t="s">
        <v>270</v>
      </c>
      <c r="J36" s="29" t="s">
        <v>280</v>
      </c>
      <c r="K36" s="56" t="s">
        <v>340</v>
      </c>
    </row>
    <row r="37" spans="2:11" ht="42" customHeight="1" x14ac:dyDescent="0.25">
      <c r="B37" s="40" t="s">
        <v>223</v>
      </c>
      <c r="C37" s="41">
        <v>95</v>
      </c>
      <c r="D37" s="38" t="s">
        <v>306</v>
      </c>
      <c r="E37" s="64" t="s">
        <v>71</v>
      </c>
      <c r="F37" s="57" t="s">
        <v>244</v>
      </c>
      <c r="G37" s="58">
        <v>47.5</v>
      </c>
      <c r="H37" s="40" t="s">
        <v>341</v>
      </c>
      <c r="I37" s="30" t="s">
        <v>270</v>
      </c>
      <c r="J37" s="23" t="s">
        <v>271</v>
      </c>
      <c r="K37" s="56" t="s">
        <v>342</v>
      </c>
    </row>
    <row r="38" spans="2:11" ht="42" customHeight="1" x14ac:dyDescent="0.25">
      <c r="B38" s="40" t="s">
        <v>343</v>
      </c>
      <c r="C38" s="41">
        <v>55</v>
      </c>
      <c r="D38" s="26" t="s">
        <v>283</v>
      </c>
      <c r="E38" s="59" t="s">
        <v>63</v>
      </c>
      <c r="F38" s="57" t="s">
        <v>244</v>
      </c>
      <c r="G38" s="58">
        <v>22</v>
      </c>
      <c r="H38" s="40" t="s">
        <v>344</v>
      </c>
      <c r="I38" s="30" t="s">
        <v>270</v>
      </c>
      <c r="J38" s="29" t="s">
        <v>280</v>
      </c>
      <c r="K38" s="56" t="s">
        <v>345</v>
      </c>
    </row>
    <row r="39" spans="2:11" ht="42" customHeight="1" x14ac:dyDescent="0.25">
      <c r="B39" s="40" t="s">
        <v>346</v>
      </c>
      <c r="C39" s="41">
        <v>200</v>
      </c>
      <c r="D39" s="38" t="s">
        <v>306</v>
      </c>
      <c r="E39" s="64" t="s">
        <v>71</v>
      </c>
      <c r="F39" s="65" t="s">
        <v>248</v>
      </c>
      <c r="G39" s="66">
        <v>200</v>
      </c>
      <c r="H39" s="40" t="s">
        <v>347</v>
      </c>
      <c r="I39" s="24" t="s">
        <v>262</v>
      </c>
      <c r="J39" s="38" t="s">
        <v>263</v>
      </c>
      <c r="K39" s="56" t="s">
        <v>348</v>
      </c>
    </row>
    <row r="40" spans="2:11" ht="42" customHeight="1" x14ac:dyDescent="0.25">
      <c r="B40" s="40" t="s">
        <v>233</v>
      </c>
      <c r="C40" s="41">
        <v>390</v>
      </c>
      <c r="D40" s="38" t="s">
        <v>306</v>
      </c>
      <c r="E40" s="64" t="s">
        <v>71</v>
      </c>
      <c r="F40" s="57" t="s">
        <v>244</v>
      </c>
      <c r="G40" s="58">
        <v>117</v>
      </c>
      <c r="H40" s="40" t="s">
        <v>349</v>
      </c>
      <c r="I40" s="30" t="s">
        <v>270</v>
      </c>
      <c r="J40" s="29" t="s">
        <v>280</v>
      </c>
      <c r="K40" s="56" t="s">
        <v>350</v>
      </c>
    </row>
    <row r="41" spans="2:11" ht="42" customHeight="1" x14ac:dyDescent="0.25">
      <c r="B41" s="40" t="s">
        <v>235</v>
      </c>
      <c r="C41" s="41">
        <v>350.63</v>
      </c>
      <c r="D41" s="68"/>
      <c r="E41" s="69"/>
      <c r="F41" s="61" t="s">
        <v>246</v>
      </c>
      <c r="G41" s="62">
        <v>0</v>
      </c>
      <c r="H41" s="40" t="s">
        <v>351</v>
      </c>
      <c r="I41" s="27" t="s">
        <v>293</v>
      </c>
      <c r="J41" s="32" t="s">
        <v>294</v>
      </c>
      <c r="K41" s="56" t="s">
        <v>352</v>
      </c>
    </row>
    <row r="42" spans="2:11" ht="15.75" customHeight="1" x14ac:dyDescent="0.25">
      <c r="B42" s="117" t="s">
        <v>353</v>
      </c>
      <c r="C42" s="117"/>
      <c r="D42" s="117"/>
      <c r="E42" s="117"/>
      <c r="F42" s="117"/>
      <c r="G42" s="70">
        <v>3278</v>
      </c>
      <c r="H42" s="71" t="s">
        <v>354</v>
      </c>
      <c r="I42" s="72"/>
      <c r="J42" s="72"/>
      <c r="K42" s="72"/>
    </row>
  </sheetData>
  <mergeCells count="12">
    <mergeCell ref="B42:F42"/>
    <mergeCell ref="B7:C7"/>
    <mergeCell ref="D7:K7"/>
    <mergeCell ref="B8:C8"/>
    <mergeCell ref="D8:K8"/>
    <mergeCell ref="B9:C9"/>
    <mergeCell ref="D9:K9"/>
    <mergeCell ref="B2:K3"/>
    <mergeCell ref="B4:K4"/>
    <mergeCell ref="B5:K5"/>
    <mergeCell ref="B6:C6"/>
    <mergeCell ref="D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27"/>
  <sheetViews>
    <sheetView showGridLines="0" topLeftCell="A3" zoomScaleNormal="100" workbookViewId="0"/>
  </sheetViews>
  <sheetFormatPr defaultColWidth="8.7109375" defaultRowHeight="15" x14ac:dyDescent="0.25"/>
  <cols>
    <col min="1" max="14" width="16" customWidth="1"/>
  </cols>
  <sheetData>
    <row r="2" spans="2:14" ht="15" customHeight="1" x14ac:dyDescent="0.25">
      <c r="B2" s="115" t="s">
        <v>355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</row>
    <row r="3" spans="2:14" ht="15" customHeight="1" x14ac:dyDescent="0.25"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</row>
    <row r="4" spans="2:14" ht="15" customHeight="1" x14ac:dyDescent="0.25">
      <c r="B4" s="127" t="s">
        <v>356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</row>
    <row r="6" spans="2:14" ht="21.75" customHeight="1" x14ac:dyDescent="0.25">
      <c r="B6" s="128" t="s">
        <v>357</v>
      </c>
      <c r="C6" s="128"/>
      <c r="D6" s="129" t="s">
        <v>358</v>
      </c>
      <c r="E6" s="129"/>
      <c r="F6" s="130" t="s">
        <v>359</v>
      </c>
      <c r="G6" s="130"/>
      <c r="H6" s="131" t="s">
        <v>360</v>
      </c>
      <c r="I6" s="131"/>
      <c r="J6" s="132" t="s">
        <v>361</v>
      </c>
      <c r="K6" s="132"/>
      <c r="L6" s="133" t="s">
        <v>362</v>
      </c>
      <c r="M6" s="133"/>
    </row>
    <row r="7" spans="2:14" ht="30" customHeight="1" x14ac:dyDescent="0.25">
      <c r="B7" s="134" t="s">
        <v>363</v>
      </c>
      <c r="C7" s="134"/>
      <c r="D7" s="135" t="s">
        <v>364</v>
      </c>
      <c r="E7" s="135"/>
      <c r="F7" s="136" t="s">
        <v>365</v>
      </c>
      <c r="G7" s="136"/>
      <c r="H7" s="137" t="s">
        <v>366</v>
      </c>
      <c r="I7" s="137"/>
      <c r="J7" s="138" t="s">
        <v>367</v>
      </c>
      <c r="K7" s="138"/>
      <c r="L7" s="139" t="s">
        <v>368</v>
      </c>
      <c r="M7" s="139"/>
    </row>
    <row r="10" spans="2:14" ht="15" customHeight="1" x14ac:dyDescent="0.25">
      <c r="B10" s="11" t="s">
        <v>369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2:14" ht="21.75" customHeight="1" x14ac:dyDescent="0.25">
      <c r="B11" s="35" t="s">
        <v>251</v>
      </c>
      <c r="C11" s="35" t="s">
        <v>55</v>
      </c>
      <c r="D11" s="35" t="s">
        <v>370</v>
      </c>
      <c r="E11" s="35" t="s">
        <v>371</v>
      </c>
      <c r="F11" s="35" t="s">
        <v>372</v>
      </c>
      <c r="G11" s="35" t="s">
        <v>373</v>
      </c>
      <c r="H11" s="35" t="s">
        <v>374</v>
      </c>
      <c r="I11" s="35" t="s">
        <v>375</v>
      </c>
    </row>
    <row r="12" spans="2:14" ht="27.75" customHeight="1" x14ac:dyDescent="0.25">
      <c r="B12" s="73" t="s">
        <v>61</v>
      </c>
      <c r="C12" s="39" t="s">
        <v>376</v>
      </c>
      <c r="D12" s="74">
        <v>1665</v>
      </c>
      <c r="E12" s="75">
        <v>1461</v>
      </c>
      <c r="F12" s="76">
        <v>0.877</v>
      </c>
      <c r="G12" s="77">
        <v>6</v>
      </c>
      <c r="H12" s="78">
        <v>812</v>
      </c>
      <c r="I12" s="40" t="s">
        <v>377</v>
      </c>
    </row>
    <row r="13" spans="2:14" ht="27.75" customHeight="1" x14ac:dyDescent="0.25">
      <c r="B13" s="79" t="s">
        <v>76</v>
      </c>
      <c r="C13" s="46" t="s">
        <v>378</v>
      </c>
      <c r="D13" s="80">
        <v>185</v>
      </c>
      <c r="E13" s="78">
        <v>185</v>
      </c>
      <c r="F13" s="76">
        <v>1</v>
      </c>
      <c r="G13" s="18">
        <v>2</v>
      </c>
      <c r="H13" s="78">
        <v>185</v>
      </c>
      <c r="I13" s="40" t="s">
        <v>379</v>
      </c>
    </row>
    <row r="14" spans="2:14" ht="27.75" customHeight="1" x14ac:dyDescent="0.25">
      <c r="B14" s="81" t="s">
        <v>85</v>
      </c>
      <c r="C14" s="45" t="s">
        <v>380</v>
      </c>
      <c r="D14" s="82">
        <v>1675</v>
      </c>
      <c r="E14" s="83">
        <v>475.5</v>
      </c>
      <c r="F14" s="84">
        <v>0.28399999999999997</v>
      </c>
      <c r="G14" s="85">
        <v>5</v>
      </c>
      <c r="H14" s="78">
        <v>0</v>
      </c>
      <c r="I14" s="40" t="s">
        <v>381</v>
      </c>
    </row>
    <row r="15" spans="2:14" ht="27.75" customHeight="1" x14ac:dyDescent="0.25">
      <c r="B15" s="86" t="s">
        <v>97</v>
      </c>
      <c r="C15" s="48" t="s">
        <v>382</v>
      </c>
      <c r="D15" s="87">
        <v>0</v>
      </c>
      <c r="E15" s="88">
        <v>0</v>
      </c>
      <c r="F15" s="84">
        <v>0</v>
      </c>
      <c r="G15" s="89">
        <v>0</v>
      </c>
      <c r="H15" s="78">
        <v>0</v>
      </c>
      <c r="I15" s="40" t="s">
        <v>383</v>
      </c>
    </row>
    <row r="16" spans="2:14" ht="27.75" customHeight="1" x14ac:dyDescent="0.25">
      <c r="B16" s="90" t="s">
        <v>105</v>
      </c>
      <c r="C16" s="47" t="s">
        <v>384</v>
      </c>
      <c r="D16" s="91">
        <v>387</v>
      </c>
      <c r="E16" s="92">
        <v>307</v>
      </c>
      <c r="F16" s="76">
        <v>0.79300000000000004</v>
      </c>
      <c r="G16" s="93">
        <v>3</v>
      </c>
      <c r="H16" s="78">
        <v>187</v>
      </c>
      <c r="I16" s="40" t="s">
        <v>385</v>
      </c>
    </row>
    <row r="17" spans="2:14" ht="27.75" customHeight="1" x14ac:dyDescent="0.25">
      <c r="B17" s="15" t="s">
        <v>114</v>
      </c>
      <c r="C17" s="49" t="s">
        <v>386</v>
      </c>
      <c r="D17" s="94">
        <v>383</v>
      </c>
      <c r="E17" s="95">
        <v>383</v>
      </c>
      <c r="F17" s="76">
        <v>1</v>
      </c>
      <c r="G17" s="96">
        <v>4</v>
      </c>
      <c r="H17" s="78">
        <v>298</v>
      </c>
      <c r="I17" s="40" t="s">
        <v>379</v>
      </c>
    </row>
    <row r="18" spans="2:14" ht="27.75" customHeight="1" x14ac:dyDescent="0.25">
      <c r="B18" s="97" t="s">
        <v>122</v>
      </c>
      <c r="C18" s="46" t="s">
        <v>387</v>
      </c>
      <c r="D18" s="80">
        <v>658</v>
      </c>
      <c r="E18" s="78">
        <v>467</v>
      </c>
      <c r="F18" s="98">
        <v>0.71</v>
      </c>
      <c r="G18" s="18">
        <v>5</v>
      </c>
      <c r="H18" s="78">
        <v>218</v>
      </c>
      <c r="I18" s="40" t="s">
        <v>388</v>
      </c>
    </row>
    <row r="19" spans="2:14" ht="15" customHeight="1" x14ac:dyDescent="0.25">
      <c r="B19" s="117" t="s">
        <v>389</v>
      </c>
      <c r="C19" s="117"/>
      <c r="D19" s="99">
        <f>SUM(D12:D18)</f>
        <v>4953</v>
      </c>
      <c r="E19" s="99">
        <f>SUM(E12:E18)</f>
        <v>3278.5</v>
      </c>
      <c r="F19" s="100">
        <f>E19/D19</f>
        <v>0.66192206743387849</v>
      </c>
      <c r="G19" s="52"/>
      <c r="H19" s="52"/>
      <c r="I19" s="52"/>
    </row>
    <row r="21" spans="2:14" ht="15" customHeight="1" x14ac:dyDescent="0.25">
      <c r="B21" s="11" t="s">
        <v>390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2:14" ht="21.75" customHeight="1" x14ac:dyDescent="0.25">
      <c r="B22" s="32" t="s">
        <v>391</v>
      </c>
      <c r="C22" s="32" t="s">
        <v>392</v>
      </c>
      <c r="D22" s="32" t="s">
        <v>393</v>
      </c>
      <c r="E22" s="32" t="s">
        <v>394</v>
      </c>
      <c r="F22" s="32" t="s">
        <v>395</v>
      </c>
    </row>
    <row r="23" spans="2:14" ht="39.75" customHeight="1" x14ac:dyDescent="0.25">
      <c r="B23" s="47" t="s">
        <v>396</v>
      </c>
      <c r="C23" s="33" t="s">
        <v>397</v>
      </c>
      <c r="D23" s="40" t="s">
        <v>398</v>
      </c>
      <c r="E23" s="56" t="s">
        <v>399</v>
      </c>
      <c r="F23" s="101" t="s">
        <v>400</v>
      </c>
    </row>
    <row r="24" spans="2:14" ht="39.75" customHeight="1" x14ac:dyDescent="0.25">
      <c r="B24" s="47" t="s">
        <v>401</v>
      </c>
      <c r="C24" s="33" t="s">
        <v>402</v>
      </c>
      <c r="D24" s="40" t="s">
        <v>403</v>
      </c>
      <c r="E24" s="56" t="s">
        <v>404</v>
      </c>
      <c r="F24" s="101" t="s">
        <v>400</v>
      </c>
    </row>
    <row r="25" spans="2:14" ht="39.75" customHeight="1" x14ac:dyDescent="0.25">
      <c r="B25" s="47" t="s">
        <v>405</v>
      </c>
      <c r="C25" s="33" t="s">
        <v>406</v>
      </c>
      <c r="D25" s="40" t="s">
        <v>407</v>
      </c>
      <c r="E25" s="56" t="s">
        <v>408</v>
      </c>
      <c r="F25" s="102" t="s">
        <v>409</v>
      </c>
    </row>
    <row r="26" spans="2:14" ht="39.75" customHeight="1" x14ac:dyDescent="0.25">
      <c r="B26" s="47" t="s">
        <v>410</v>
      </c>
      <c r="C26" s="33" t="s">
        <v>411</v>
      </c>
      <c r="D26" s="40" t="s">
        <v>412</v>
      </c>
      <c r="E26" s="56" t="s">
        <v>413</v>
      </c>
      <c r="F26" s="102" t="s">
        <v>409</v>
      </c>
    </row>
    <row r="27" spans="2:14" ht="39.75" customHeight="1" x14ac:dyDescent="0.25">
      <c r="B27" s="47" t="s">
        <v>414</v>
      </c>
      <c r="C27" s="33" t="s">
        <v>402</v>
      </c>
      <c r="D27" s="40" t="s">
        <v>415</v>
      </c>
      <c r="E27" s="56" t="s">
        <v>416</v>
      </c>
      <c r="F27" s="101" t="s">
        <v>400</v>
      </c>
    </row>
  </sheetData>
  <mergeCells count="17">
    <mergeCell ref="L7:M7"/>
    <mergeCell ref="B10:N10"/>
    <mergeCell ref="B19:C19"/>
    <mergeCell ref="B21:N21"/>
    <mergeCell ref="B7:C7"/>
    <mergeCell ref="D7:E7"/>
    <mergeCell ref="F7:G7"/>
    <mergeCell ref="H7:I7"/>
    <mergeCell ref="J7:K7"/>
    <mergeCell ref="B2:N3"/>
    <mergeCell ref="B4:N4"/>
    <mergeCell ref="B6:C6"/>
    <mergeCell ref="D6:E6"/>
    <mergeCell ref="F6:G6"/>
    <mergeCell ref="H6:I6"/>
    <mergeCell ref="J6:K6"/>
    <mergeCell ref="L6:M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45"/>
  <sheetViews>
    <sheetView showGridLines="0" topLeftCell="A7" zoomScaleNormal="100" workbookViewId="0"/>
  </sheetViews>
  <sheetFormatPr defaultColWidth="8.7109375" defaultRowHeight="15" x14ac:dyDescent="0.25"/>
  <cols>
    <col min="1" max="1" width="20" customWidth="1"/>
    <col min="2" max="2" width="32" customWidth="1"/>
    <col min="3" max="3" width="14" customWidth="1"/>
    <col min="4" max="11" width="20" customWidth="1"/>
  </cols>
  <sheetData>
    <row r="2" spans="2:11" ht="15" customHeight="1" x14ac:dyDescent="0.25">
      <c r="B2" s="115" t="s">
        <v>417</v>
      </c>
      <c r="C2" s="115"/>
      <c r="D2" s="115"/>
      <c r="E2" s="115"/>
      <c r="F2" s="115"/>
      <c r="G2" s="115"/>
      <c r="H2" s="115"/>
      <c r="I2" s="115"/>
      <c r="J2" s="115"/>
      <c r="K2" s="115"/>
    </row>
    <row r="3" spans="2:11" ht="15" customHeight="1" x14ac:dyDescent="0.25">
      <c r="B3" s="115"/>
      <c r="C3" s="115"/>
      <c r="D3" s="115"/>
      <c r="E3" s="115"/>
      <c r="F3" s="115"/>
      <c r="G3" s="115"/>
      <c r="H3" s="115"/>
      <c r="I3" s="115"/>
      <c r="J3" s="115"/>
      <c r="K3" s="115"/>
    </row>
    <row r="4" spans="2:11" ht="15" customHeight="1" x14ac:dyDescent="0.25">
      <c r="B4" s="116" t="s">
        <v>418</v>
      </c>
      <c r="C4" s="116"/>
      <c r="D4" s="116"/>
      <c r="E4" s="116"/>
      <c r="F4" s="116"/>
      <c r="G4" s="116"/>
      <c r="H4" s="116"/>
      <c r="I4" s="116"/>
      <c r="J4" s="116"/>
      <c r="K4" s="116"/>
    </row>
    <row r="6" spans="2:11" ht="15" customHeight="1" x14ac:dyDescent="0.25">
      <c r="B6" s="8" t="s">
        <v>419</v>
      </c>
      <c r="C6" s="8"/>
      <c r="D6" s="8"/>
      <c r="E6" s="8"/>
      <c r="F6" s="8"/>
      <c r="G6" s="8"/>
      <c r="H6" s="8"/>
      <c r="I6" s="8"/>
      <c r="J6" s="8"/>
      <c r="K6" s="8"/>
    </row>
    <row r="7" spans="2:11" ht="21.75" customHeight="1" x14ac:dyDescent="0.25">
      <c r="B7" s="35" t="s">
        <v>420</v>
      </c>
      <c r="C7" s="35" t="s">
        <v>421</v>
      </c>
      <c r="D7" s="35" t="s">
        <v>422</v>
      </c>
      <c r="E7" s="35" t="s">
        <v>423</v>
      </c>
      <c r="F7" s="35" t="s">
        <v>424</v>
      </c>
      <c r="G7" s="35" t="s">
        <v>425</v>
      </c>
      <c r="H7" s="35" t="s">
        <v>426</v>
      </c>
    </row>
    <row r="8" spans="2:11" ht="34.5" customHeight="1" x14ac:dyDescent="0.25">
      <c r="B8" s="103" t="s">
        <v>427</v>
      </c>
      <c r="C8" s="78">
        <v>285</v>
      </c>
      <c r="D8" s="20" t="s">
        <v>61</v>
      </c>
      <c r="E8" s="54" t="s">
        <v>428</v>
      </c>
      <c r="F8" s="104" t="s">
        <v>429</v>
      </c>
      <c r="G8" s="40" t="s">
        <v>430</v>
      </c>
      <c r="H8" s="105" t="s">
        <v>431</v>
      </c>
    </row>
    <row r="9" spans="2:11" ht="34.5" customHeight="1" x14ac:dyDescent="0.25">
      <c r="B9" s="103" t="s">
        <v>432</v>
      </c>
      <c r="C9" s="78">
        <v>420</v>
      </c>
      <c r="D9" s="20" t="s">
        <v>61</v>
      </c>
      <c r="E9" s="54" t="s">
        <v>428</v>
      </c>
      <c r="F9" s="104" t="s">
        <v>433</v>
      </c>
      <c r="G9" s="40" t="s">
        <v>434</v>
      </c>
      <c r="H9" s="105" t="s">
        <v>431</v>
      </c>
    </row>
    <row r="10" spans="2:11" ht="34.5" customHeight="1" x14ac:dyDescent="0.25">
      <c r="B10" s="103" t="s">
        <v>435</v>
      </c>
      <c r="C10" s="78">
        <v>380</v>
      </c>
      <c r="D10" s="20" t="s">
        <v>61</v>
      </c>
      <c r="E10" s="54" t="s">
        <v>428</v>
      </c>
      <c r="F10" s="104" t="s">
        <v>436</v>
      </c>
      <c r="G10" s="40" t="s">
        <v>437</v>
      </c>
      <c r="H10" s="105" t="s">
        <v>431</v>
      </c>
    </row>
    <row r="11" spans="2:11" ht="34.5" customHeight="1" x14ac:dyDescent="0.25">
      <c r="B11" s="103" t="s">
        <v>438</v>
      </c>
      <c r="C11" s="78">
        <v>185</v>
      </c>
      <c r="D11" s="35" t="s">
        <v>114</v>
      </c>
      <c r="E11" s="54" t="s">
        <v>428</v>
      </c>
      <c r="F11" s="104" t="s">
        <v>439</v>
      </c>
      <c r="G11" s="40" t="s">
        <v>440</v>
      </c>
      <c r="H11" s="105" t="s">
        <v>441</v>
      </c>
    </row>
    <row r="12" spans="2:11" ht="34.5" customHeight="1" x14ac:dyDescent="0.25">
      <c r="B12" s="103" t="s">
        <v>442</v>
      </c>
      <c r="C12" s="78">
        <v>110</v>
      </c>
      <c r="D12" s="23" t="s">
        <v>76</v>
      </c>
      <c r="E12" s="54" t="s">
        <v>428</v>
      </c>
      <c r="F12" s="104" t="s">
        <v>443</v>
      </c>
      <c r="G12" s="40" t="s">
        <v>444</v>
      </c>
      <c r="H12" s="105" t="s">
        <v>441</v>
      </c>
    </row>
    <row r="13" spans="2:11" ht="34.5" customHeight="1" x14ac:dyDescent="0.25">
      <c r="B13" s="103" t="s">
        <v>276</v>
      </c>
      <c r="C13" s="78">
        <v>95</v>
      </c>
      <c r="D13" s="20" t="s">
        <v>445</v>
      </c>
      <c r="E13" s="54" t="s">
        <v>428</v>
      </c>
      <c r="F13" s="104" t="s">
        <v>446</v>
      </c>
      <c r="G13" s="40" t="s">
        <v>447</v>
      </c>
      <c r="H13" s="105" t="s">
        <v>441</v>
      </c>
    </row>
    <row r="14" spans="2:11" ht="34.5" customHeight="1" x14ac:dyDescent="0.25">
      <c r="B14" s="103" t="s">
        <v>448</v>
      </c>
      <c r="C14" s="78">
        <v>145</v>
      </c>
      <c r="D14" s="32" t="s">
        <v>105</v>
      </c>
      <c r="E14" s="54" t="s">
        <v>428</v>
      </c>
      <c r="F14" s="104" t="s">
        <v>449</v>
      </c>
      <c r="G14" s="40" t="s">
        <v>450</v>
      </c>
      <c r="H14" s="105" t="s">
        <v>441</v>
      </c>
    </row>
    <row r="15" spans="2:11" ht="34.5" customHeight="1" x14ac:dyDescent="0.25">
      <c r="B15" s="103" t="s">
        <v>451</v>
      </c>
      <c r="C15" s="78">
        <v>42</v>
      </c>
      <c r="D15" s="32" t="s">
        <v>105</v>
      </c>
      <c r="E15" s="54" t="s">
        <v>428</v>
      </c>
      <c r="F15" s="104" t="s">
        <v>449</v>
      </c>
      <c r="G15" s="40" t="s">
        <v>452</v>
      </c>
      <c r="H15" s="105" t="s">
        <v>453</v>
      </c>
    </row>
    <row r="16" spans="2:11" ht="34.5" customHeight="1" x14ac:dyDescent="0.25">
      <c r="B16" s="103" t="s">
        <v>454</v>
      </c>
      <c r="C16" s="78">
        <v>45</v>
      </c>
      <c r="D16" s="35" t="s">
        <v>114</v>
      </c>
      <c r="E16" s="54" t="s">
        <v>428</v>
      </c>
      <c r="F16" s="104" t="s">
        <v>429</v>
      </c>
      <c r="G16" s="40" t="s">
        <v>455</v>
      </c>
      <c r="H16" s="105" t="s">
        <v>441</v>
      </c>
    </row>
    <row r="17" spans="2:11" ht="34.5" customHeight="1" x14ac:dyDescent="0.25">
      <c r="B17" s="103" t="s">
        <v>170</v>
      </c>
      <c r="C17" s="78">
        <v>85</v>
      </c>
      <c r="D17" s="35" t="s">
        <v>114</v>
      </c>
      <c r="E17" s="54" t="s">
        <v>428</v>
      </c>
      <c r="F17" s="104" t="s">
        <v>456</v>
      </c>
      <c r="G17" s="40" t="s">
        <v>457</v>
      </c>
      <c r="H17" s="105" t="s">
        <v>453</v>
      </c>
    </row>
    <row r="18" spans="2:11" ht="34.5" customHeight="1" x14ac:dyDescent="0.25">
      <c r="B18" s="103" t="s">
        <v>458</v>
      </c>
      <c r="C18" s="78">
        <v>32</v>
      </c>
      <c r="D18" s="20" t="s">
        <v>61</v>
      </c>
      <c r="E18" s="54" t="s">
        <v>428</v>
      </c>
      <c r="F18" s="104" t="s">
        <v>449</v>
      </c>
      <c r="G18" s="40" t="s">
        <v>459</v>
      </c>
      <c r="H18" s="105" t="s">
        <v>453</v>
      </c>
    </row>
    <row r="19" spans="2:11" ht="34.5" customHeight="1" x14ac:dyDescent="0.25">
      <c r="B19" s="103" t="s">
        <v>460</v>
      </c>
      <c r="C19" s="78">
        <v>18</v>
      </c>
      <c r="D19" s="38" t="s">
        <v>122</v>
      </c>
      <c r="E19" s="54" t="s">
        <v>461</v>
      </c>
      <c r="F19" s="104" t="s">
        <v>462</v>
      </c>
      <c r="G19" s="40" t="s">
        <v>463</v>
      </c>
      <c r="H19" s="105" t="s">
        <v>441</v>
      </c>
    </row>
    <row r="20" spans="2:11" ht="15" customHeight="1" x14ac:dyDescent="0.25">
      <c r="B20" s="117" t="s">
        <v>464</v>
      </c>
      <c r="C20" s="117"/>
      <c r="D20" s="106"/>
      <c r="E20" s="52"/>
      <c r="F20" s="52"/>
      <c r="G20" s="52"/>
      <c r="H20" s="52"/>
    </row>
    <row r="22" spans="2:11" ht="15" customHeight="1" x14ac:dyDescent="0.25">
      <c r="B22" s="11" t="s">
        <v>465</v>
      </c>
      <c r="C22" s="11"/>
      <c r="D22" s="11"/>
      <c r="E22" s="11"/>
      <c r="F22" s="11"/>
      <c r="G22" s="11"/>
      <c r="H22" s="11"/>
      <c r="I22" s="11"/>
      <c r="J22" s="11"/>
      <c r="K22" s="11"/>
    </row>
    <row r="23" spans="2:11" ht="21.75" customHeight="1" x14ac:dyDescent="0.25">
      <c r="B23" s="35" t="s">
        <v>466</v>
      </c>
      <c r="C23" s="35" t="s">
        <v>467</v>
      </c>
      <c r="D23" s="35" t="s">
        <v>468</v>
      </c>
      <c r="E23" s="35" t="s">
        <v>469</v>
      </c>
      <c r="F23" s="35" t="s">
        <v>470</v>
      </c>
    </row>
    <row r="24" spans="2:11" ht="34.5" customHeight="1" x14ac:dyDescent="0.25">
      <c r="B24" s="103" t="s">
        <v>471</v>
      </c>
      <c r="C24" s="40" t="s">
        <v>472</v>
      </c>
      <c r="D24" s="107">
        <v>5</v>
      </c>
      <c r="E24" s="56" t="s">
        <v>473</v>
      </c>
      <c r="F24" s="30" t="s">
        <v>474</v>
      </c>
    </row>
    <row r="25" spans="2:11" ht="34.5" customHeight="1" x14ac:dyDescent="0.25">
      <c r="B25" s="103" t="s">
        <v>475</v>
      </c>
      <c r="C25" s="40" t="s">
        <v>476</v>
      </c>
      <c r="D25" s="108">
        <v>2</v>
      </c>
      <c r="E25" s="56" t="s">
        <v>477</v>
      </c>
      <c r="F25" s="30" t="s">
        <v>478</v>
      </c>
    </row>
    <row r="26" spans="2:11" ht="34.5" customHeight="1" x14ac:dyDescent="0.25">
      <c r="B26" s="103" t="s">
        <v>479</v>
      </c>
      <c r="C26" s="40" t="s">
        <v>480</v>
      </c>
      <c r="D26" s="109">
        <v>3</v>
      </c>
      <c r="E26" s="56" t="s">
        <v>481</v>
      </c>
      <c r="F26" s="30" t="s">
        <v>478</v>
      </c>
    </row>
    <row r="27" spans="2:11" ht="34.5" customHeight="1" x14ac:dyDescent="0.25">
      <c r="B27" s="103" t="s">
        <v>482</v>
      </c>
      <c r="C27" s="40" t="s">
        <v>483</v>
      </c>
      <c r="D27" s="109">
        <v>3</v>
      </c>
      <c r="E27" s="56" t="s">
        <v>484</v>
      </c>
      <c r="F27" s="30" t="s">
        <v>485</v>
      </c>
    </row>
    <row r="28" spans="2:11" ht="34.5" customHeight="1" x14ac:dyDescent="0.25">
      <c r="B28" s="103" t="s">
        <v>486</v>
      </c>
      <c r="C28" s="40" t="s">
        <v>487</v>
      </c>
      <c r="D28" s="108">
        <v>1</v>
      </c>
      <c r="E28" s="56" t="s">
        <v>488</v>
      </c>
      <c r="F28" s="30" t="s">
        <v>489</v>
      </c>
    </row>
    <row r="29" spans="2:11" ht="34.5" customHeight="1" x14ac:dyDescent="0.25">
      <c r="B29" s="103" t="s">
        <v>490</v>
      </c>
      <c r="C29" s="40" t="s">
        <v>491</v>
      </c>
      <c r="D29" s="107">
        <v>5</v>
      </c>
      <c r="E29" s="56" t="s">
        <v>492</v>
      </c>
      <c r="F29" s="30" t="s">
        <v>493</v>
      </c>
    </row>
    <row r="30" spans="2:11" ht="34.5" customHeight="1" x14ac:dyDescent="0.25">
      <c r="B30" s="103" t="s">
        <v>494</v>
      </c>
      <c r="C30" s="40" t="s">
        <v>495</v>
      </c>
      <c r="D30" s="109">
        <v>3</v>
      </c>
      <c r="E30" s="56" t="s">
        <v>496</v>
      </c>
      <c r="F30" s="30" t="s">
        <v>478</v>
      </c>
    </row>
    <row r="31" spans="2:11" ht="34.5" customHeight="1" x14ac:dyDescent="0.25">
      <c r="B31" s="103" t="s">
        <v>497</v>
      </c>
      <c r="C31" s="40" t="s">
        <v>498</v>
      </c>
      <c r="D31" s="108">
        <v>2</v>
      </c>
      <c r="E31" s="56" t="s">
        <v>499</v>
      </c>
      <c r="F31" s="30" t="s">
        <v>500</v>
      </c>
    </row>
    <row r="32" spans="2:11" ht="34.5" customHeight="1" x14ac:dyDescent="0.25">
      <c r="B32" s="103" t="s">
        <v>501</v>
      </c>
      <c r="C32" s="40" t="s">
        <v>502</v>
      </c>
      <c r="D32" s="107">
        <v>4</v>
      </c>
      <c r="E32" s="56" t="s">
        <v>503</v>
      </c>
      <c r="F32" s="30" t="s">
        <v>504</v>
      </c>
    </row>
    <row r="33" spans="2:11" ht="34.5" customHeight="1" x14ac:dyDescent="0.25">
      <c r="B33" s="103" t="s">
        <v>505</v>
      </c>
      <c r="C33" s="40" t="s">
        <v>506</v>
      </c>
      <c r="D33" s="107">
        <v>5</v>
      </c>
      <c r="E33" s="56" t="s">
        <v>507</v>
      </c>
      <c r="F33" s="30" t="s">
        <v>508</v>
      </c>
    </row>
    <row r="34" spans="2:11" ht="90.75" customHeight="1" x14ac:dyDescent="0.25">
      <c r="B34" s="117" t="s">
        <v>509</v>
      </c>
      <c r="C34" s="117"/>
      <c r="D34" s="110" t="s">
        <v>510</v>
      </c>
      <c r="E34" s="111" t="s">
        <v>511</v>
      </c>
      <c r="F34" s="112" t="s">
        <v>512</v>
      </c>
    </row>
    <row r="36" spans="2:11" ht="15" customHeight="1" x14ac:dyDescent="0.25">
      <c r="B36" s="8" t="s">
        <v>513</v>
      </c>
      <c r="C36" s="8"/>
      <c r="D36" s="8"/>
      <c r="E36" s="8"/>
      <c r="F36" s="8"/>
      <c r="G36" s="8"/>
      <c r="H36" s="8"/>
      <c r="I36" s="8"/>
      <c r="J36" s="8"/>
      <c r="K36" s="8"/>
    </row>
    <row r="38" spans="2:11" ht="30" customHeight="1" x14ac:dyDescent="0.25">
      <c r="B38" s="113" t="s">
        <v>514</v>
      </c>
      <c r="C38" s="140" t="s">
        <v>515</v>
      </c>
      <c r="D38" s="140"/>
      <c r="E38" s="140"/>
      <c r="F38" s="140"/>
      <c r="G38" s="140"/>
      <c r="H38" s="140"/>
      <c r="I38" s="140"/>
      <c r="J38" s="140"/>
      <c r="K38" s="140"/>
    </row>
    <row r="39" spans="2:11" ht="30" customHeight="1" x14ac:dyDescent="0.25">
      <c r="B39" s="113" t="s">
        <v>516</v>
      </c>
      <c r="C39" s="140" t="s">
        <v>517</v>
      </c>
      <c r="D39" s="140"/>
      <c r="E39" s="140"/>
      <c r="F39" s="140"/>
      <c r="G39" s="140"/>
      <c r="H39" s="140"/>
      <c r="I39" s="140"/>
      <c r="J39" s="140"/>
      <c r="K39" s="140"/>
    </row>
    <row r="40" spans="2:11" ht="30" customHeight="1" x14ac:dyDescent="0.25">
      <c r="B40" s="113" t="s">
        <v>518</v>
      </c>
      <c r="C40" s="140" t="s">
        <v>519</v>
      </c>
      <c r="D40" s="140"/>
      <c r="E40" s="140"/>
      <c r="F40" s="140"/>
      <c r="G40" s="140"/>
      <c r="H40" s="140"/>
      <c r="I40" s="140"/>
      <c r="J40" s="140"/>
      <c r="K40" s="140"/>
    </row>
    <row r="41" spans="2:11" ht="30" customHeight="1" x14ac:dyDescent="0.25">
      <c r="B41" s="113" t="s">
        <v>520</v>
      </c>
      <c r="C41" s="140" t="s">
        <v>521</v>
      </c>
      <c r="D41" s="140"/>
      <c r="E41" s="140"/>
      <c r="F41" s="140"/>
      <c r="G41" s="140"/>
      <c r="H41" s="140"/>
      <c r="I41" s="140"/>
      <c r="J41" s="140"/>
      <c r="K41" s="140"/>
    </row>
    <row r="42" spans="2:11" ht="30" customHeight="1" x14ac:dyDescent="0.25">
      <c r="B42" s="113" t="s">
        <v>522</v>
      </c>
      <c r="C42" s="140" t="s">
        <v>523</v>
      </c>
      <c r="D42" s="140"/>
      <c r="E42" s="140"/>
      <c r="F42" s="140"/>
      <c r="G42" s="140"/>
      <c r="H42" s="140"/>
      <c r="I42" s="140"/>
      <c r="J42" s="140"/>
      <c r="K42" s="140"/>
    </row>
    <row r="43" spans="2:11" ht="30" customHeight="1" x14ac:dyDescent="0.25">
      <c r="B43" s="113" t="s">
        <v>524</v>
      </c>
      <c r="C43" s="140" t="s">
        <v>525</v>
      </c>
      <c r="D43" s="140"/>
      <c r="E43" s="140"/>
      <c r="F43" s="140"/>
      <c r="G43" s="140"/>
      <c r="H43" s="140"/>
      <c r="I43" s="140"/>
      <c r="J43" s="140"/>
      <c r="K43" s="140"/>
    </row>
    <row r="44" spans="2:11" ht="30" customHeight="1" x14ac:dyDescent="0.25">
      <c r="B44" s="113" t="s">
        <v>526</v>
      </c>
      <c r="C44" s="140" t="s">
        <v>527</v>
      </c>
      <c r="D44" s="140"/>
      <c r="E44" s="140"/>
      <c r="F44" s="140"/>
      <c r="G44" s="140"/>
      <c r="H44" s="140"/>
      <c r="I44" s="140"/>
      <c r="J44" s="140"/>
      <c r="K44" s="140"/>
    </row>
    <row r="45" spans="2:11" ht="30" customHeight="1" x14ac:dyDescent="0.25">
      <c r="B45" s="113" t="s">
        <v>528</v>
      </c>
      <c r="C45" s="140" t="s">
        <v>529</v>
      </c>
      <c r="D45" s="140"/>
      <c r="E45" s="140"/>
      <c r="F45" s="140"/>
      <c r="G45" s="140"/>
      <c r="H45" s="140"/>
      <c r="I45" s="140"/>
      <c r="J45" s="140"/>
      <c r="K45" s="140"/>
    </row>
  </sheetData>
  <mergeCells count="15">
    <mergeCell ref="C41:K41"/>
    <mergeCell ref="C42:K42"/>
    <mergeCell ref="C43:K43"/>
    <mergeCell ref="C44:K44"/>
    <mergeCell ref="C45:K45"/>
    <mergeCell ref="B34:C34"/>
    <mergeCell ref="B36:K36"/>
    <mergeCell ref="C38:K38"/>
    <mergeCell ref="C39:K39"/>
    <mergeCell ref="C40:K40"/>
    <mergeCell ref="B2:K3"/>
    <mergeCell ref="B4:K4"/>
    <mergeCell ref="B6:K6"/>
    <mergeCell ref="B20:C20"/>
    <mergeCell ref="B22:K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Cover &amp; Guide</vt:lpstr>
      <vt:lpstr>📚 CBRT Framework</vt:lpstr>
      <vt:lpstr>💰 VMC Budget Inventory</vt:lpstr>
      <vt:lpstr>🗺️ CBRT Mapping</vt:lpstr>
      <vt:lpstr>📊 Resilience Dashboard</vt:lpstr>
      <vt:lpstr>🏦 Bond Readiness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Rujal Shah</cp:lastModifiedBy>
  <cp:revision>0</cp:revision>
  <dcterms:created xsi:type="dcterms:W3CDTF">2026-03-09T13:25:01Z</dcterms:created>
  <dcterms:modified xsi:type="dcterms:W3CDTF">2026-03-09T19:06:31Z</dcterms:modified>
  <dc:language>en-US</dc:language>
</cp:coreProperties>
</file>