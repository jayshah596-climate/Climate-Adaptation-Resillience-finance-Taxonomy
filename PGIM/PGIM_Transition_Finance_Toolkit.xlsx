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ORTFOLIO" sheetId="2" state="visible" r:id="rId4"/>
    <sheet name="EU TAXONOMY" sheetId="3" state="visible" r:id="rId5"/>
    <sheet name="CBI SCORING" sheetId="4" state="visible" r:id="rId6"/>
    <sheet name="TRANSITION" sheetId="5" state="visible" r:id="rId7"/>
    <sheet name="ITR MODEL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<sst xmlns="http://schemas.openxmlformats.org/spreadsheetml/2006/main" count="1249" uniqueCount="291">
  <si>
    <t xml:space="preserve">PGIM</t>
  </si>
  <si>
    <t xml:space="preserve">Transition Finance
Taxonomy Alignment Toolkit</t>
  </si>
  <si>
    <t xml:space="preserve">Aligned with EU Taxonomy | Climate Bonds Initiative | ISSB | TCFD</t>
  </si>
  <si>
    <t xml:space="preserve">Version 1.0  |  March 2026  |  Sustainable Finance Group</t>
  </si>
  <si>
    <t xml:space="preserve">TAB 1</t>
  </si>
  <si>
    <t xml:space="preserve">Portfolio Database</t>
  </si>
  <si>
    <t xml:space="preserve">1. Companies, sectors, emissions &amp; capex data</t>
  </si>
  <si>
    <t xml:space="preserve">TAB 2</t>
  </si>
  <si>
    <t xml:space="preserve">EU Taxonomy Scoring</t>
  </si>
  <si>
    <t xml:space="preserve">2. Do No Significant Harm + Minimum Social Safeguards</t>
  </si>
  <si>
    <t xml:space="preserve">TAB 3</t>
  </si>
  <si>
    <t xml:space="preserve">Climate Bonds Scoring</t>
  </si>
  <si>
    <t xml:space="preserve">3. CBI sector-specific criteria alignment</t>
  </si>
  <si>
    <t xml:space="preserve">TAB 4</t>
  </si>
  <si>
    <t xml:space="preserve">Transition Readiness</t>
  </si>
  <si>
    <t xml:space="preserve">4. Low / Medium / High readiness assessment</t>
  </si>
  <si>
    <t xml:space="preserve">TAB 5</t>
  </si>
  <si>
    <t xml:space="preserve">ITR Calculator</t>
  </si>
  <si>
    <t xml:space="preserve">5. Implied Temperature Rise (simplified pathway)</t>
  </si>
  <si>
    <t xml:space="preserve">TAB 6</t>
  </si>
  <si>
    <t xml:space="preserve">Dashboard</t>
  </si>
  <si>
    <t xml:space="preserve">6. Charts, KPIs &amp; portfolio-level summary</t>
  </si>
  <si>
    <t xml:space="preserve">CONFIDENTIAL — For Internal Use Only | PGIM Sustainable Finance Group | © 2026 PGIM</t>
  </si>
  <si>
    <t xml:space="preserve">PGIM | Portfolio Company Database — Transition Finance Analysis</t>
  </si>
  <si>
    <t xml:space="preserve">ID</t>
  </si>
  <si>
    <t xml:space="preserve">Company</t>
  </si>
  <si>
    <t xml:space="preserve">Country</t>
  </si>
  <si>
    <t xml:space="preserve">Sector</t>
  </si>
  <si>
    <t xml:space="preserve">Sub-Sector</t>
  </si>
  <si>
    <t xml:space="preserve">Revenue
($M)</t>
  </si>
  <si>
    <t xml:space="preserve">Scope 1
(ktCO2e)</t>
  </si>
  <si>
    <t xml:space="preserve">Scope 2
(ktCO2e)</t>
  </si>
  <si>
    <t xml:space="preserve">Scope 3
(ktCO2e)</t>
  </si>
  <si>
    <t xml:space="preserve">Total GHG
(ktCO2e)</t>
  </si>
  <si>
    <t xml:space="preserve">Capex Total
($M)</t>
  </si>
  <si>
    <t xml:space="preserve">Green Capex
($M)</t>
  </si>
  <si>
    <t xml:space="preserve">Green
Capex %</t>
  </si>
  <si>
    <t xml:space="preserve">Green
Revenue %</t>
  </si>
  <si>
    <t xml:space="preserve">Fossil
Revenue %</t>
  </si>
  <si>
    <t xml:space="preserve">Bond
Outstanding ($M)</t>
  </si>
  <si>
    <t xml:space="preserve">Maturity</t>
  </si>
  <si>
    <t xml:space="preserve">Notes</t>
  </si>
  <si>
    <t xml:space="preserve">P01</t>
  </si>
  <si>
    <t xml:space="preserve">Orsted A/S</t>
  </si>
  <si>
    <t xml:space="preserve">DNK</t>
  </si>
  <si>
    <t xml:space="preserve">Energy</t>
  </si>
  <si>
    <t xml:space="preserve">Offshore Wind</t>
  </si>
  <si>
    <t xml:space="preserve">2030</t>
  </si>
  <si>
    <t xml:space="preserve">Global leader in offshore wind</t>
  </si>
  <si>
    <t xml:space="preserve">P02</t>
  </si>
  <si>
    <t xml:space="preserve">RWE AG</t>
  </si>
  <si>
    <t xml:space="preserve">DEU</t>
  </si>
  <si>
    <t xml:space="preserve">Utility/Transition</t>
  </si>
  <si>
    <t xml:space="preserve">2028</t>
  </si>
  <si>
    <t xml:space="preserve">Committed coal phase-out by 2030</t>
  </si>
  <si>
    <t xml:space="preserve">P03</t>
  </si>
  <si>
    <t xml:space="preserve">Enel SpA</t>
  </si>
  <si>
    <t xml:space="preserve">ITA</t>
  </si>
  <si>
    <t xml:space="preserve">Integrated Utility</t>
  </si>
  <si>
    <t xml:space="preserve">2032</t>
  </si>
  <si>
    <t xml:space="preserve">70% renewables target 2030</t>
  </si>
  <si>
    <t xml:space="preserve">P04</t>
  </si>
  <si>
    <t xml:space="preserve">Aker BP ASA</t>
  </si>
  <si>
    <t xml:space="preserve">NOR</t>
  </si>
  <si>
    <t xml:space="preserve">Oil &amp; Gas Upstream</t>
  </si>
  <si>
    <t xml:space="preserve">2027</t>
  </si>
  <si>
    <t xml:space="preserve">Low-carbon E&amp;P, CCS investment</t>
  </si>
  <si>
    <t xml:space="preserve">P05</t>
  </si>
  <si>
    <t xml:space="preserve">Nexans SA</t>
  </si>
  <si>
    <t xml:space="preserve">FRA</t>
  </si>
  <si>
    <t xml:space="preserve">Infrastructure</t>
  </si>
  <si>
    <t xml:space="preserve">Cable Systems</t>
  </si>
  <si>
    <t xml:space="preserve">2029</t>
  </si>
  <si>
    <t xml:space="preserve">Grid infrastructure enabler</t>
  </si>
  <si>
    <t xml:space="preserve">P06</t>
  </si>
  <si>
    <t xml:space="preserve">Vestas Wind Sys.</t>
  </si>
  <si>
    <t xml:space="preserve">Manufacturing</t>
  </si>
  <si>
    <t xml:space="preserve">Wind Turbines</t>
  </si>
  <si>
    <t xml:space="preserve">2031</t>
  </si>
  <si>
    <t xml:space="preserve">Pure-play wind OEM</t>
  </si>
  <si>
    <t xml:space="preserve">P07</t>
  </si>
  <si>
    <t xml:space="preserve">LafargeHolcim</t>
  </si>
  <si>
    <t xml:space="preserve">CHE</t>
  </si>
  <si>
    <t xml:space="preserve">Cement &amp; Concrete</t>
  </si>
  <si>
    <t xml:space="preserve">Net-zero concrete roadmap</t>
  </si>
  <si>
    <t xml:space="preserve">P08</t>
  </si>
  <si>
    <t xml:space="preserve">ArcelorMittal</t>
  </si>
  <si>
    <t xml:space="preserve">LUX</t>
  </si>
  <si>
    <t xml:space="preserve">Steel</t>
  </si>
  <si>
    <t xml:space="preserve">2033</t>
  </si>
  <si>
    <t xml:space="preserve">XCarb green steel initiative</t>
  </si>
  <si>
    <t xml:space="preserve">P09</t>
  </si>
  <si>
    <t xml:space="preserve">Alstom SA</t>
  </si>
  <si>
    <t xml:space="preserve">Rail Transport</t>
  </si>
  <si>
    <t xml:space="preserve">Green mobility equipment</t>
  </si>
  <si>
    <t xml:space="preserve">P10</t>
  </si>
  <si>
    <t xml:space="preserve">National Grid</t>
  </si>
  <si>
    <t xml:space="preserve">GBR</t>
  </si>
  <si>
    <t xml:space="preserve">Electricity Grid</t>
  </si>
  <si>
    <t xml:space="preserve">2035</t>
  </si>
  <si>
    <t xml:space="preserve">Smart grid transformation</t>
  </si>
  <si>
    <t xml:space="preserve">P11</t>
  </si>
  <si>
    <t xml:space="preserve">ENGIE SA</t>
  </si>
  <si>
    <t xml:space="preserve">Multi-utility</t>
  </si>
  <si>
    <t xml:space="preserve">Exit coal, grow renewables</t>
  </si>
  <si>
    <t xml:space="preserve">P12</t>
  </si>
  <si>
    <t xml:space="preserve">Siemens Energy</t>
  </si>
  <si>
    <t xml:space="preserve">Energy Equipment</t>
  </si>
  <si>
    <t xml:space="preserve">Turbines + electrolyzers</t>
  </si>
  <si>
    <t xml:space="preserve">P13</t>
  </si>
  <si>
    <t xml:space="preserve">Tata Steel</t>
  </si>
  <si>
    <t xml:space="preserve">IND</t>
  </si>
  <si>
    <t xml:space="preserve">Decarbonization roadmap; developing</t>
  </si>
  <si>
    <t xml:space="preserve">P14</t>
  </si>
  <si>
    <t xml:space="preserve">Iberdrola SA</t>
  </si>
  <si>
    <t xml:space="preserve">ESP</t>
  </si>
  <si>
    <t xml:space="preserve">Renewables</t>
  </si>
  <si>
    <t xml:space="preserve">2034</t>
  </si>
  <si>
    <t xml:space="preserve">Largest global renewables cap</t>
  </si>
  <si>
    <t xml:space="preserve">P15</t>
  </si>
  <si>
    <t xml:space="preserve">Heidelberg Matls.</t>
  </si>
  <si>
    <t xml:space="preserve">Cement</t>
  </si>
  <si>
    <t xml:space="preserve">CCUS-focused decarbonization</t>
  </si>
  <si>
    <t xml:space="preserve">P16</t>
  </si>
  <si>
    <t xml:space="preserve">Terna SpA</t>
  </si>
  <si>
    <t xml:space="preserve">Grid Operator</t>
  </si>
  <si>
    <t xml:space="preserve">Italian transmission grid</t>
  </si>
  <si>
    <t xml:space="preserve">P17</t>
  </si>
  <si>
    <t xml:space="preserve">Air Liquide</t>
  </si>
  <si>
    <t xml:space="preserve">Industrial Gases</t>
  </si>
  <si>
    <t xml:space="preserve">Green hydrogen infrastructure</t>
  </si>
  <si>
    <t xml:space="preserve">P18</t>
  </si>
  <si>
    <t xml:space="preserve">BP plc</t>
  </si>
  <si>
    <t xml:space="preserve">Integrated Oil&amp;Gas</t>
  </si>
  <si>
    <t xml:space="preserve">Transition plan; oil &amp; gas major</t>
  </si>
  <si>
    <t xml:space="preserve">P19</t>
  </si>
  <si>
    <t xml:space="preserve">Amprion GmbH</t>
  </si>
  <si>
    <t xml:space="preserve">German TSO green bonds</t>
  </si>
  <si>
    <t xml:space="preserve">P20</t>
  </si>
  <si>
    <t xml:space="preserve">TotalEnergies</t>
  </si>
  <si>
    <t xml:space="preserve">50% low-carbon ambition by 2040</t>
  </si>
  <si>
    <t xml:space="preserve">TOTAL</t>
  </si>
  <si>
    <t xml:space="preserve">—</t>
  </si>
  <si>
    <t xml:space="preserve">PGIM | EU Taxonomy Alignment Scoring — Delegated Acts Criteria (2021/2139 + 2023 amendments)</t>
  </si>
  <si>
    <t xml:space="preserve">SC1: Climate
Mitigation</t>
  </si>
  <si>
    <t xml:space="preserve">SC2: Climate
Adaptation</t>
  </si>
  <si>
    <t xml:space="preserve">SC3: Water &amp;
Marine</t>
  </si>
  <si>
    <t xml:space="preserve">SC4: Circular
Economy</t>
  </si>
  <si>
    <t xml:space="preserve">SC5: Pollution
Prevention</t>
  </si>
  <si>
    <t xml:space="preserve">SC6: Biodiversity</t>
  </si>
  <si>
    <t xml:space="preserve">DNSH
Score</t>
  </si>
  <si>
    <t xml:space="preserve">MSS
Compliance</t>
  </si>
  <si>
    <t xml:space="preserve">Eligible
Activity %</t>
  </si>
  <si>
    <t xml:space="preserve">Aligned
Activity %</t>
  </si>
  <si>
    <t xml:space="preserve">EU Taxonomy
Rating</t>
  </si>
  <si>
    <t xml:space="preserve">EU Taxonomy
Color</t>
  </si>
  <si>
    <t xml:space="preserve">5/5</t>
  </si>
  <si>
    <t xml:space="preserve">4/5</t>
  </si>
  <si>
    <t xml:space="preserve">3/5</t>
  </si>
  <si>
    <t xml:space="preserve">High</t>
  </si>
  <si>
    <t xml:space="preserve">2/5</t>
  </si>
  <si>
    <t xml:space="preserve">Medium</t>
  </si>
  <si>
    <t xml:space="preserve">1/5</t>
  </si>
  <si>
    <t xml:space="preserve">Low</t>
  </si>
  <si>
    <t xml:space="preserve">PGIM | Climate Bonds Initiative — Sector Criteria Alignment Scoring</t>
  </si>
  <si>
    <t xml:space="preserve">CBI Sector
Criteria</t>
  </si>
  <si>
    <t xml:space="preserve">Technical
Screening</t>
  </si>
  <si>
    <t xml:space="preserve">Verification
Readiness</t>
  </si>
  <si>
    <t xml:space="preserve">Ambition
Level</t>
  </si>
  <si>
    <t xml:space="preserve">Use of
Proceeds</t>
  </si>
  <si>
    <t xml:space="preserve">Reporting
Capability</t>
  </si>
  <si>
    <t xml:space="preserve">External
Review</t>
  </si>
  <si>
    <t xml:space="preserve">CBI
Score</t>
  </si>
  <si>
    <t xml:space="preserve">CBI
Band</t>
  </si>
  <si>
    <t xml:space="preserve">Bond Type
Eligibility</t>
  </si>
  <si>
    <t xml:space="preserve">Certification
Prospect</t>
  </si>
  <si>
    <t xml:space="preserve">Stranded
Asset Risk</t>
  </si>
  <si>
    <t xml:space="preserve">ESG
Controversies</t>
  </si>
  <si>
    <t xml:space="preserve">Solar/Wind</t>
  </si>
  <si>
    <t xml:space="preserve">Band A</t>
  </si>
  <si>
    <t xml:space="preserve">Green Bond</t>
  </si>
  <si>
    <t xml:space="preserve">Ready</t>
  </si>
  <si>
    <t xml:space="preserve">None</t>
  </si>
  <si>
    <t xml:space="preserve">Transition Energy</t>
  </si>
  <si>
    <t xml:space="preserve">Band C</t>
  </si>
  <si>
    <t xml:space="preserve">Transition Bond</t>
  </si>
  <si>
    <t xml:space="preserve">2 yrs</t>
  </si>
  <si>
    <t xml:space="preserve">Med</t>
  </si>
  <si>
    <t xml:space="preserve">Minor</t>
  </si>
  <si>
    <t xml:space="preserve">Band B</t>
  </si>
  <si>
    <t xml:space="preserve">SLB</t>
  </si>
  <si>
    <t xml:space="preserve">Not eligible</t>
  </si>
  <si>
    <t xml:space="preserve">Band D</t>
  </si>
  <si>
    <t xml:space="preserve">Not Eligible</t>
  </si>
  <si>
    <t xml:space="preserve">Ineligible</t>
  </si>
  <si>
    <t xml:space="preserve">Transmission Grid</t>
  </si>
  <si>
    <t xml:space="preserve">Low-Carbon Cement</t>
  </si>
  <si>
    <t xml:space="preserve">3 yrs</t>
  </si>
  <si>
    <t xml:space="preserve">Moderate</t>
  </si>
  <si>
    <t xml:space="preserve">Low-Carbon Steel</t>
  </si>
  <si>
    <t xml:space="preserve">Clean Transport</t>
  </si>
  <si>
    <t xml:space="preserve">1 yr</t>
  </si>
  <si>
    <t xml:space="preserve">Low-Carbon Equip.</t>
  </si>
  <si>
    <t xml:space="preserve">5 yrs</t>
  </si>
  <si>
    <t xml:space="preserve">Green Hydrogen</t>
  </si>
  <si>
    <t xml:space="preserve">PGIM | Transition Readiness Scoring — Climate Strategy &amp; Execution Assessment</t>
  </si>
  <si>
    <t xml:space="preserve">Net Zero
Target</t>
  </si>
  <si>
    <t xml:space="preserve">Capex
Allocation</t>
  </si>
  <si>
    <t xml:space="preserve">Governance
&amp; Board</t>
  </si>
  <si>
    <t xml:space="preserve">Lobbying
Alignment</t>
  </si>
  <si>
    <t xml:space="preserve">Science-Based
Target</t>
  </si>
  <si>
    <t xml:space="preserve">Disclosure
Quality</t>
  </si>
  <si>
    <t xml:space="preserve">Credibility
Score</t>
  </si>
  <si>
    <t xml:space="preserve">Transition
Readiness</t>
  </si>
  <si>
    <t xml:space="preserve">ITR
Estimate (°C)</t>
  </si>
  <si>
    <t xml:space="preserve">KTI
Flag</t>
  </si>
  <si>
    <t xml:space="preserve">Investment
Action</t>
  </si>
  <si>
    <t xml:space="preserve">1.5°C</t>
  </si>
  <si>
    <t xml:space="preserve">Green</t>
  </si>
  <si>
    <t xml:space="preserve">Overweight</t>
  </si>
  <si>
    <t xml:space="preserve">2.8°C</t>
  </si>
  <si>
    <t xml:space="preserve">Watch</t>
  </si>
  <si>
    <t xml:space="preserve">Hold</t>
  </si>
  <si>
    <t xml:space="preserve">2.4°C</t>
  </si>
  <si>
    <t xml:space="preserve">4.2°C</t>
  </si>
  <si>
    <t xml:space="preserve">Red</t>
  </si>
  <si>
    <t xml:space="preserve">Reduce</t>
  </si>
  <si>
    <t xml:space="preserve">1.8°C</t>
  </si>
  <si>
    <t xml:space="preserve">1.4°C</t>
  </si>
  <si>
    <t xml:space="preserve">3.6°C</t>
  </si>
  <si>
    <t xml:space="preserve">4.0°C</t>
  </si>
  <si>
    <t xml:space="preserve">1.7°C</t>
  </si>
  <si>
    <t xml:space="preserve">2.6°C</t>
  </si>
  <si>
    <t xml:space="preserve">2.2°C</t>
  </si>
  <si>
    <t xml:space="preserve">4.5°C</t>
  </si>
  <si>
    <t xml:space="preserve">1.6°C</t>
  </si>
  <si>
    <t xml:space="preserve">3.8°C</t>
  </si>
  <si>
    <t xml:space="preserve">2.7°C</t>
  </si>
  <si>
    <t xml:space="preserve">3.9°C</t>
  </si>
  <si>
    <t xml:space="preserve">4.1°C</t>
  </si>
  <si>
    <t xml:space="preserve">PGIM | Implied Temperature Rise (ITR) Calculator — Simplified Methodology (TCFD/MSCI approach)</t>
  </si>
  <si>
    <t xml:space="preserve">METHODOLOGY NOTE: ITR is calculated using a simplified carbon budget approach. Company emissions trajectory vs. sector decarbonization pathway (IEA NZE 2050) determines alignment. Score = BASE_TEMP + (Current Intensity / Target Intensity - 1) × SENSITIVITY_FACTOR. This is illustrative — a full implementation requires verified Scope 1-3 data, sector benchmarks, and scenario analysis.</t>
  </si>
  <si>
    <t xml:space="preserve">KEY ASSUMPTIONS</t>
  </si>
  <si>
    <t xml:space="preserve">PORTFOLIO ITR CALCULATION TABLE</t>
  </si>
  <si>
    <t xml:space="preserve">Base Temperature</t>
  </si>
  <si>
    <t xml:space="preserve">°C (Paris Agreement lower bound)</t>
  </si>
  <si>
    <t xml:space="preserve">2023 Intensity
(tCO2/$M rev)</t>
  </si>
  <si>
    <t xml:space="preserve">2030 Target
(tCO2/$M rev)</t>
  </si>
  <si>
    <t xml:space="preserve">2050 Target
(tCO2/$M rev)</t>
  </si>
  <si>
    <t xml:space="preserve">Reduction
Rate %</t>
  </si>
  <si>
    <t xml:space="preserve">Assessment</t>
  </si>
  <si>
    <t xml:space="preserve">Sensitivity Factor</t>
  </si>
  <si>
    <t xml:space="preserve">°C per unit intensity overshoot</t>
  </si>
  <si>
    <t xml:space="preserve">Paris-aligned</t>
  </si>
  <si>
    <t xml:space="preserve">Reference Year</t>
  </si>
  <si>
    <t xml:space="preserve">Baseline emissions year</t>
  </si>
  <si>
    <t xml:space="preserve">Transition pathway</t>
  </si>
  <si>
    <t xml:space="preserve">Target Year</t>
  </si>
  <si>
    <t xml:space="preserve">Net zero target year</t>
  </si>
  <si>
    <t xml:space="preserve">Discount Rate</t>
  </si>
  <si>
    <t xml:space="preserve">For future emissions discounting</t>
  </si>
  <si>
    <t xml:space="preserve">Misaligned</t>
  </si>
  <si>
    <t xml:space="preserve">High-risk</t>
  </si>
  <si>
    <t xml:space="preserve">PGIM | Transition Finance Toolkit — Portfolio Dashboard</t>
  </si>
  <si>
    <t xml:space="preserve">$983B</t>
  </si>
  <si>
    <t xml:space="preserve">20</t>
  </si>
  <si>
    <t xml:space="preserve">9 / 20</t>
  </si>
  <si>
    <t xml:space="preserve">7 / 20</t>
  </si>
  <si>
    <t xml:space="preserve">$19.7B</t>
  </si>
  <si>
    <t xml:space="preserve">38%</t>
  </si>
  <si>
    <t xml:space="preserve">Readiness</t>
  </si>
  <si>
    <t xml:space="preserve">Count</t>
  </si>
  <si>
    <t xml:space="preserve">Portfolio AUM</t>
  </si>
  <si>
    <t xml:space="preserve">Portfolio Companies</t>
  </si>
  <si>
    <t xml:space="preserve">High Transition Ready</t>
  </si>
  <si>
    <t xml:space="preserve">Green Bond Eligible</t>
  </si>
  <si>
    <t xml:space="preserve">Aligned Bond Volume</t>
  </si>
  <si>
    <t xml:space="preserve">Portfolio Avg ITR</t>
  </si>
  <si>
    <t xml:space="preserve">Avg Green Capex %</t>
  </si>
  <si>
    <t xml:space="preserve">Range</t>
  </si>
  <si>
    <t xml:space="preserve">Companies</t>
  </si>
  <si>
    <t xml:space="preserve">&lt; 2°C</t>
  </si>
  <si>
    <t xml:space="preserve">2–3°C</t>
  </si>
  <si>
    <t xml:space="preserve">&gt; 3°C</t>
  </si>
  <si>
    <t xml:space="preserve">Bond Type</t>
  </si>
  <si>
    <t xml:space="preserve">Transition</t>
  </si>
  <si>
    <t xml:space="preserve">PORTFOLIO SCORECARD SUMMARY</t>
  </si>
  <si>
    <t xml:space="preserve">EU Rating</t>
  </si>
  <si>
    <t xml:space="preserve">CBI Band</t>
  </si>
  <si>
    <t xml:space="preserve">ITR</t>
  </si>
  <si>
    <t xml:space="preserve">Action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</si>
</sst>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C09B3A"/>
      <name val="Arial"/>
      <family val="0"/>
      <charset val="1"/>
    </font>
    <font>
      <b val="true"/>
      <sz val="28"/>
      <color rgb="FFFFFFFF"/>
      <name val="Arial"/>
      <family val="0"/>
      <charset val="1"/>
    </font>
    <font>
      <sz val="13"/>
      <color rgb="FFD6F4F5"/>
      <name val="Arial"/>
      <family val="0"/>
      <charset val="1"/>
    </font>
    <font>
      <sz val="11"/>
      <color rgb="FFC09B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sz val="10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1A7A4A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6D28D9"/>
      <name val="Arial"/>
      <family val="0"/>
      <charset val="1"/>
    </font>
    <font>
      <b val="true"/>
      <sz val="9"/>
      <color rgb="FFC2410C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9"/>
      <color rgb="FFFACC15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22C55E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F97316"/>
      <name val="Arial"/>
      <family val="0"/>
      <charset val="1"/>
    </font>
    <font>
      <b val="true"/>
      <sz val="10"/>
      <color rgb="FFFACC15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8"/>
      <color rgb="FF6B728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007B83"/>
        <bgColor rgb="FF1A7A4A"/>
      </patternFill>
    </fill>
    <fill>
      <patternFill patternType="solid">
        <fgColor rgb="FF004B50"/>
        <bgColor rgb="FF065F46"/>
      </patternFill>
    </fill>
    <fill>
      <patternFill patternType="solid">
        <fgColor rgb="FFF0F9FA"/>
        <bgColor rgb="FFF9F9F9"/>
      </patternFill>
    </fill>
    <fill>
      <patternFill patternType="solid">
        <fgColor rgb="FFFFFFFF"/>
        <bgColor rgb="FFF9FAFB"/>
      </patternFill>
    </fill>
    <fill>
      <patternFill patternType="solid">
        <fgColor rgb="FF1A7A4A"/>
        <bgColor rgb="FF065F46"/>
      </patternFill>
    </fill>
    <fill>
      <patternFill patternType="solid">
        <fgColor rgb="FF22C55E"/>
        <bgColor rgb="FF33CCCC"/>
      </patternFill>
    </fill>
    <fill>
      <patternFill patternType="solid">
        <fgColor rgb="FFFACC15"/>
        <bgColor rgb="FFFB923C"/>
      </patternFill>
    </fill>
    <fill>
      <patternFill patternType="solid">
        <fgColor rgb="FFE8F5EE"/>
        <bgColor rgb="FFF0F9FA"/>
      </patternFill>
    </fill>
    <fill>
      <patternFill patternType="solid">
        <fgColor rgb="FFF9FAFB"/>
        <bgColor rgb="FFF9F9F9"/>
      </patternFill>
    </fill>
    <fill>
      <patternFill patternType="solid">
        <fgColor rgb="FFFB923C"/>
        <bgColor rgb="FFF97316"/>
      </patternFill>
    </fill>
    <fill>
      <patternFill patternType="solid">
        <fgColor rgb="FFFEF3C7"/>
        <bgColor rgb="FFFFEDD5"/>
      </patternFill>
    </fill>
    <fill>
      <patternFill patternType="solid">
        <fgColor rgb="FFEF4444"/>
        <bgColor rgb="FFC2410C"/>
      </patternFill>
    </fill>
    <fill>
      <patternFill patternType="solid">
        <fgColor rgb="FFFEE2E2"/>
        <bgColor rgb="FFFFEDD5"/>
      </patternFill>
    </fill>
    <fill>
      <patternFill patternType="solid">
        <fgColor rgb="FFEDE9FE"/>
        <bgColor rgb="FFE5E7EB"/>
      </patternFill>
    </fill>
    <fill>
      <patternFill patternType="solid">
        <fgColor rgb="FFE5E7EB"/>
        <bgColor rgb="FFEDE9FE"/>
      </patternFill>
    </fill>
    <fill>
      <patternFill patternType="solid">
        <fgColor rgb="FFFFEDD5"/>
        <bgColor rgb="FFFEF3C7"/>
      </patternFill>
    </fill>
    <fill>
      <patternFill patternType="solid">
        <fgColor rgb="FFD1FAE5"/>
        <bgColor rgb="FFD6F4F5"/>
      </patternFill>
    </fill>
    <fill>
      <patternFill patternType="solid">
        <fgColor rgb="FFFFF9F0"/>
        <bgColor rgb="FFF9F9F9"/>
      </patternFill>
    </fill>
    <fill>
      <patternFill patternType="solid">
        <fgColor rgb="FFD6F4F5"/>
        <bgColor rgb="FFD1FAE5"/>
      </patternFill>
    </fill>
    <fill>
      <patternFill patternType="solid">
        <fgColor rgb="FFD97706"/>
        <bgColor rgb="FFF9731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2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1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1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1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1" fillId="2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F4444"/>
      <rgbColor rgb="FF00FF00"/>
      <rgbColor rgb="FF0000FF"/>
      <rgbColor rgb="FFF9F9F9"/>
      <rgbColor rgb="FFFF00FF"/>
      <rgbColor rgb="FF00FFFF"/>
      <rgbColor rgb="FF800000"/>
      <rgbColor rgb="FF065F46"/>
      <rgbColor rgb="FF000080"/>
      <rgbColor rgb="FFC09B3A"/>
      <rgbColor rgb="FF800080"/>
      <rgbColor rgb="FF007B83"/>
      <rgbColor rgb="FFDDDDDD"/>
      <rgbColor rgb="FF878787"/>
      <rgbColor rgb="FFF0F9FA"/>
      <rgbColor rgb="FFB91C1C"/>
      <rgbColor rgb="FFFEF3C7"/>
      <rgbColor rgb="FFD6F4F5"/>
      <rgbColor rgb="FF660066"/>
      <rgbColor rgb="FFD97706"/>
      <rgbColor rgb="FF0066CC"/>
      <rgbColor rgb="FFD9D9D9"/>
      <rgbColor rgb="FF000080"/>
      <rgbColor rgb="FFFF00FF"/>
      <rgbColor rgb="FFF9FAFB"/>
      <rgbColor rgb="FF00FFFF"/>
      <rgbColor rgb="FF800080"/>
      <rgbColor rgb="FF800000"/>
      <rgbColor rgb="FF1A7A4A"/>
      <rgbColor rgb="FF0000FF"/>
      <rgbColor rgb="FF00CCFF"/>
      <rgbColor rgb="FFE8F5EE"/>
      <rgbColor rgb="FFD1FAE5"/>
      <rgbColor rgb="FFFFEDD5"/>
      <rgbColor rgb="FFE5E7EB"/>
      <rgbColor rgb="FFFFF9F0"/>
      <rgbColor rgb="FFEDE9FE"/>
      <rgbColor rgb="FFFEE2E2"/>
      <rgbColor rgb="FF4F81BD"/>
      <rgbColor rgb="FF33CCCC"/>
      <rgbColor rgb="FF99CC00"/>
      <rgbColor rgb="FFFACC15"/>
      <rgbColor rgb="FFFB923C"/>
      <rgbColor rgb="FFF97316"/>
      <rgbColor rgb="FF6B7280"/>
      <rgbColor rgb="FF9CA3AF"/>
      <rgbColor rgb="FF1E3A5F"/>
      <rgbColor rgb="FF22C55E"/>
      <rgbColor rgb="FF004B50"/>
      <rgbColor rgb="FF333300"/>
      <rgbColor rgb="FF92400E"/>
      <rgbColor rgb="FFC2410C"/>
      <rgbColor rgb="FF6D28D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Transition Readiness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DASHBOARD!O3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a7a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acc1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f4444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DASHBOARD!$N$4:$N$6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DASHBOARD!$O$4:$O$6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DASHBOARD!O8</c:f>
              <c:strCache>
                <c:ptCount val="1"/>
                <c:pt idx="0">
                  <c:v>Companies</c:v>
                </c:pt>
              </c:strCache>
            </c:strRef>
          </c:tx>
          <c:spPr>
            <a:solidFill>
              <a:srgbClr val="007b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DASHBOARD!$N$9:$N$11</c:f>
              <c:strCache>
                <c:ptCount val="3"/>
                <c:pt idx="0">
                  <c:v>&lt; 2°C</c:v>
                </c:pt>
                <c:pt idx="1">
                  <c:v>2–3°C</c:v>
                </c:pt>
                <c:pt idx="2">
                  <c:v>&gt; 3°C</c:v>
                </c:pt>
              </c:strCache>
            </c:strRef>
          </c:cat>
          <c:val>
            <c:numRef>
              <c:f>DASHBOARD!$O$9:$O$11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</c:ser>
        <c:gapWidth val="150"/>
        <c:overlap val="0"/>
        <c:axId val="90633338"/>
        <c:axId val="94226918"/>
      </c:barChart>
      <c:catAx>
        <c:axId val="906333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26918"/>
        <c:crosses val="autoZero"/>
        <c:auto val="1"/>
        <c:lblAlgn val="ctr"/>
        <c:lblOffset val="100"/>
        <c:noMultiLvlLbl val="0"/>
      </c:catAx>
      <c:valAx>
        <c:axId val="942269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Companies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33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Bond Type Eligibility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DASHBOARD!O13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a7a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acc1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6d28d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ca3af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DASHBOARD!$N$14:$N$17</c:f>
              <c:strCache>
                <c:ptCount val="4"/>
                <c:pt idx="0">
                  <c:v>Green Bond</c:v>
                </c:pt>
                <c:pt idx="1">
                  <c:v>Transition</c:v>
                </c:pt>
                <c:pt idx="2">
                  <c:v>SLB</c:v>
                </c:pt>
                <c:pt idx="3">
                  <c:v>Not Eligible</c:v>
                </c:pt>
              </c:strCache>
            </c:strRef>
          </c:cat>
          <c:val>
            <c:numRef>
              <c:f>DASHBOARD!$O$14:$O$17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DASHBOARD!O19</c:f>
              <c:strCache>
                <c:ptCount val="1"/>
                <c:pt idx="0">
                  <c:v>Companies</c:v>
                </c:pt>
              </c:strCache>
            </c:strRef>
          </c:tx>
          <c:spPr>
            <a:solidFill>
              <a:srgbClr val="004b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DASHBOARD!$N$20:$N$22</c:f>
              <c:strCache>
                <c:ptCount val="3"/>
                <c:pt idx="0">
                  <c:v>Energy</c:v>
                </c:pt>
                <c:pt idx="1">
                  <c:v>Infrastructure</c:v>
                </c:pt>
                <c:pt idx="2">
                  <c:v>Manufacturing</c:v>
                </c:pt>
              </c:strCache>
            </c:strRef>
          </c:cat>
          <c:val>
            <c:numRef>
              <c:f>DASHBOARD!$O$20:$O$22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</c:ser>
        <c:gapWidth val="150"/>
        <c:overlap val="0"/>
        <c:axId val="8961523"/>
        <c:axId val="74004967"/>
      </c:barChart>
      <c:catAx>
        <c:axId val="8961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04967"/>
        <c:crosses val="autoZero"/>
        <c:auto val="1"/>
        <c:lblAlgn val="ctr"/>
        <c:lblOffset val="100"/>
        <c:noMultiLvlLbl val="0"/>
      </c:catAx>
      <c:valAx>
        <c:axId val="74004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15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0</xdr:rowOff>
    </xdr:from>
    <xdr:to>
      <xdr:col>4</xdr:col>
      <xdr:colOff>717480</xdr:colOff>
      <xdr:row>22</xdr:row>
      <xdr:rowOff>1080</xdr:rowOff>
    </xdr:to>
    <xdr:graphicFrame>
      <xdr:nvGraphicFramePr>
        <xdr:cNvPr id="0" name="Chart 1"/>
        <xdr:cNvGraphicFramePr/>
      </xdr:nvGraphicFramePr>
      <xdr:xfrm>
        <a:off x="106200" y="150480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</xdr:row>
      <xdr:rowOff>0</xdr:rowOff>
    </xdr:from>
    <xdr:to>
      <xdr:col>9</xdr:col>
      <xdr:colOff>153360</xdr:colOff>
      <xdr:row>22</xdr:row>
      <xdr:rowOff>1080</xdr:rowOff>
    </xdr:to>
    <xdr:graphicFrame>
      <xdr:nvGraphicFramePr>
        <xdr:cNvPr id="1" name="Chart 2"/>
        <xdr:cNvGraphicFramePr/>
      </xdr:nvGraphicFramePr>
      <xdr:xfrm>
        <a:off x="4335120" y="150480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</xdr:row>
      <xdr:rowOff>0</xdr:rowOff>
    </xdr:from>
    <xdr:to>
      <xdr:col>13</xdr:col>
      <xdr:colOff>576360</xdr:colOff>
      <xdr:row>22</xdr:row>
      <xdr:rowOff>1080</xdr:rowOff>
    </xdr:to>
    <xdr:graphicFrame>
      <xdr:nvGraphicFramePr>
        <xdr:cNvPr id="2" name="Chart 3"/>
        <xdr:cNvGraphicFramePr/>
      </xdr:nvGraphicFramePr>
      <xdr:xfrm>
        <a:off x="8141400" y="150480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4</xdr:col>
      <xdr:colOff>717480</xdr:colOff>
      <xdr:row>42</xdr:row>
      <xdr:rowOff>1080</xdr:rowOff>
    </xdr:to>
    <xdr:graphicFrame>
      <xdr:nvGraphicFramePr>
        <xdr:cNvPr id="3" name="Chart 4"/>
        <xdr:cNvGraphicFramePr/>
      </xdr:nvGraphicFramePr>
      <xdr:xfrm>
        <a:off x="106200" y="531504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B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14"/>
    <col collapsed="false" customWidth="true" hidden="false" outlineLevel="0" max="9" min="9" style="0" width="2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39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39.75" hidden="false" customHeight="true" outlineLevel="0" collapsed="false">
      <c r="B4" s="2"/>
      <c r="C4" s="2"/>
      <c r="D4" s="2"/>
      <c r="E4" s="2"/>
      <c r="F4" s="2"/>
      <c r="G4" s="2"/>
      <c r="H4" s="2"/>
    </row>
    <row r="5" customFormat="false" ht="39.75" hidden="false" customHeight="true" outlineLevel="0" collapsed="false">
      <c r="B5" s="2"/>
      <c r="C5" s="2"/>
      <c r="D5" s="2"/>
      <c r="E5" s="2"/>
      <c r="F5" s="2"/>
      <c r="G5" s="2"/>
      <c r="H5" s="2"/>
    </row>
    <row r="6" customFormat="false" ht="39.75" hidden="false" customHeight="true" outlineLevel="0" collapsed="false">
      <c r="B6" s="3" t="s">
        <v>2</v>
      </c>
      <c r="C6" s="3"/>
      <c r="D6" s="3"/>
      <c r="E6" s="3"/>
      <c r="F6" s="3"/>
      <c r="G6" s="3"/>
      <c r="H6" s="3"/>
    </row>
    <row r="7" customFormat="false" ht="39.75" hidden="false" customHeight="true" outlineLevel="0" collapsed="false">
      <c r="B7" s="4" t="s">
        <v>3</v>
      </c>
      <c r="C7" s="4"/>
      <c r="D7" s="4"/>
      <c r="E7" s="4"/>
      <c r="F7" s="4"/>
      <c r="G7" s="4"/>
      <c r="H7" s="4"/>
    </row>
    <row r="8" customFormat="false" ht="12" hidden="false" customHeight="true" outlineLevel="0" collapsed="false"/>
    <row r="9" customFormat="false" ht="13.5" hidden="false" customHeight="true" outlineLevel="0" collapsed="false"/>
    <row r="10" customFormat="false" ht="21.75" hidden="false" customHeight="true" outlineLevel="0" collapsed="false">
      <c r="B10" s="5" t="s">
        <v>4</v>
      </c>
      <c r="C10" s="5"/>
      <c r="D10" s="6" t="s">
        <v>5</v>
      </c>
      <c r="E10" s="6"/>
      <c r="F10" s="6"/>
      <c r="G10" s="7" t="s">
        <v>6</v>
      </c>
      <c r="H10" s="7"/>
    </row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21.75" hidden="false" customHeight="true" outlineLevel="0" collapsed="false">
      <c r="B13" s="5" t="s">
        <v>7</v>
      </c>
      <c r="C13" s="5"/>
      <c r="D13" s="6" t="s">
        <v>8</v>
      </c>
      <c r="E13" s="6"/>
      <c r="F13" s="6"/>
      <c r="G13" s="7" t="s">
        <v>9</v>
      </c>
      <c r="H13" s="7"/>
    </row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21.75" hidden="false" customHeight="true" outlineLevel="0" collapsed="false">
      <c r="B16" s="5" t="s">
        <v>10</v>
      </c>
      <c r="C16" s="5"/>
      <c r="D16" s="6" t="s">
        <v>11</v>
      </c>
      <c r="E16" s="6"/>
      <c r="F16" s="6"/>
      <c r="G16" s="7" t="s">
        <v>12</v>
      </c>
      <c r="H16" s="7"/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21.75" hidden="false" customHeight="true" outlineLevel="0" collapsed="false">
      <c r="B19" s="5" t="s">
        <v>13</v>
      </c>
      <c r="C19" s="5"/>
      <c r="D19" s="6" t="s">
        <v>14</v>
      </c>
      <c r="E19" s="6"/>
      <c r="F19" s="6"/>
      <c r="G19" s="7" t="s">
        <v>15</v>
      </c>
      <c r="H19" s="7"/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21.75" hidden="false" customHeight="true" outlineLevel="0" collapsed="false">
      <c r="B22" s="5" t="s">
        <v>16</v>
      </c>
      <c r="C22" s="5"/>
      <c r="D22" s="6" t="s">
        <v>17</v>
      </c>
      <c r="E22" s="6"/>
      <c r="F22" s="6"/>
      <c r="G22" s="7" t="s">
        <v>18</v>
      </c>
      <c r="H22" s="7"/>
    </row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21.75" hidden="false" customHeight="true" outlineLevel="0" collapsed="false">
      <c r="B25" s="5" t="s">
        <v>19</v>
      </c>
      <c r="C25" s="5"/>
      <c r="D25" s="6" t="s">
        <v>20</v>
      </c>
      <c r="E25" s="6"/>
      <c r="F25" s="6"/>
      <c r="G25" s="7" t="s">
        <v>21</v>
      </c>
      <c r="H25" s="7"/>
    </row>
    <row r="26" customFormat="false" ht="13.5" hidden="false" customHeight="true" outlineLevel="0" collapsed="false"/>
    <row r="27" customFormat="false" ht="21.75" hidden="false" customHeight="true" outlineLevel="0" collapsed="false"/>
    <row r="28" customFormat="false" ht="13.5" hidden="false" customHeight="true" outlineLevel="0" collapsed="false">
      <c r="B28" s="8" t="s">
        <v>22</v>
      </c>
      <c r="C28" s="8"/>
      <c r="D28" s="8"/>
      <c r="E28" s="8"/>
      <c r="F28" s="8"/>
      <c r="G28" s="8"/>
      <c r="H28" s="8"/>
    </row>
    <row r="29" customFormat="false" ht="21.75" hidden="false" customHeight="true" outlineLevel="0" collapsed="false"/>
  </sheetData>
  <mergeCells count="23">
    <mergeCell ref="B2:H2"/>
    <mergeCell ref="B3:H5"/>
    <mergeCell ref="B6:H6"/>
    <mergeCell ref="B7:H7"/>
    <mergeCell ref="B10:C10"/>
    <mergeCell ref="D10:F10"/>
    <mergeCell ref="G10:H10"/>
    <mergeCell ref="B13:C13"/>
    <mergeCell ref="D13:F13"/>
    <mergeCell ref="G13:H13"/>
    <mergeCell ref="B16:C16"/>
    <mergeCell ref="D16:F16"/>
    <mergeCell ref="G16:H16"/>
    <mergeCell ref="B19:C19"/>
    <mergeCell ref="D19:F19"/>
    <mergeCell ref="G19:H19"/>
    <mergeCell ref="B22:C22"/>
    <mergeCell ref="D22:F22"/>
    <mergeCell ref="G22:H22"/>
    <mergeCell ref="B25:C25"/>
    <mergeCell ref="D25:F25"/>
    <mergeCell ref="G25:H25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B50"/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9" min="6" style="0" width="10"/>
    <col collapsed="false" customWidth="true" hidden="false" outlineLevel="0" max="12" min="10" style="0" width="11"/>
    <col collapsed="false" customWidth="true" hidden="false" outlineLevel="0" max="15" min="13" style="0" width="10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9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customFormat="false" ht="36" hidden="false" customHeight="true" outlineLevel="0" collapsed="false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32</v>
      </c>
      <c r="J3" s="10" t="s">
        <v>33</v>
      </c>
      <c r="K3" s="10" t="s">
        <v>34</v>
      </c>
      <c r="L3" s="10" t="s">
        <v>35</v>
      </c>
      <c r="M3" s="10" t="s">
        <v>36</v>
      </c>
      <c r="N3" s="10" t="s">
        <v>37</v>
      </c>
      <c r="O3" s="10" t="s">
        <v>38</v>
      </c>
      <c r="P3" s="10" t="s">
        <v>39</v>
      </c>
      <c r="Q3" s="10" t="s">
        <v>40</v>
      </c>
      <c r="R3" s="10" t="s">
        <v>41</v>
      </c>
    </row>
    <row r="4" customFormat="false" ht="21.75" hidden="false" customHeight="true" outlineLevel="0" collapsed="false">
      <c r="A4" s="11" t="s">
        <v>42</v>
      </c>
      <c r="B4" s="12" t="s">
        <v>43</v>
      </c>
      <c r="C4" s="11" t="s">
        <v>44</v>
      </c>
      <c r="D4" s="11" t="s">
        <v>45</v>
      </c>
      <c r="E4" s="12" t="s">
        <v>46</v>
      </c>
      <c r="F4" s="13" t="n">
        <v>8200</v>
      </c>
      <c r="G4" s="13" t="n">
        <v>120</v>
      </c>
      <c r="H4" s="13" t="n">
        <v>45</v>
      </c>
      <c r="I4" s="13" t="n">
        <v>210</v>
      </c>
      <c r="J4" s="13" t="n">
        <v>375</v>
      </c>
      <c r="K4" s="13" t="n">
        <v>4800</v>
      </c>
      <c r="L4" s="13" t="n">
        <v>4560</v>
      </c>
      <c r="M4" s="14" t="n">
        <v>0.95</v>
      </c>
      <c r="N4" s="14" t="n">
        <v>0.95</v>
      </c>
      <c r="O4" s="15" t="n">
        <v>0.02</v>
      </c>
      <c r="P4" s="13" t="n">
        <v>2000</v>
      </c>
      <c r="Q4" s="11" t="s">
        <v>47</v>
      </c>
      <c r="R4" s="16" t="s">
        <v>48</v>
      </c>
    </row>
    <row r="5" customFormat="false" ht="21.75" hidden="false" customHeight="true" outlineLevel="0" collapsed="false">
      <c r="A5" s="17" t="s">
        <v>49</v>
      </c>
      <c r="B5" s="18" t="s">
        <v>50</v>
      </c>
      <c r="C5" s="17" t="s">
        <v>51</v>
      </c>
      <c r="D5" s="17" t="s">
        <v>45</v>
      </c>
      <c r="E5" s="18" t="s">
        <v>52</v>
      </c>
      <c r="F5" s="19" t="n">
        <v>15600</v>
      </c>
      <c r="G5" s="19" t="n">
        <v>8200</v>
      </c>
      <c r="H5" s="19" t="n">
        <v>820</v>
      </c>
      <c r="I5" s="19" t="n">
        <v>3200</v>
      </c>
      <c r="J5" s="19" t="n">
        <v>12220</v>
      </c>
      <c r="K5" s="19" t="n">
        <v>3200</v>
      </c>
      <c r="L5" s="19" t="n">
        <v>1920</v>
      </c>
      <c r="M5" s="20" t="n">
        <v>0.6</v>
      </c>
      <c r="N5" s="20" t="n">
        <v>0.42</v>
      </c>
      <c r="O5" s="21" t="n">
        <v>0.38</v>
      </c>
      <c r="P5" s="19" t="n">
        <v>1500</v>
      </c>
      <c r="Q5" s="17" t="s">
        <v>53</v>
      </c>
      <c r="R5" s="22" t="s">
        <v>54</v>
      </c>
    </row>
    <row r="6" customFormat="false" ht="21.75" hidden="false" customHeight="true" outlineLevel="0" collapsed="false">
      <c r="A6" s="11" t="s">
        <v>55</v>
      </c>
      <c r="B6" s="12" t="s">
        <v>56</v>
      </c>
      <c r="C6" s="11" t="s">
        <v>57</v>
      </c>
      <c r="D6" s="11" t="s">
        <v>45</v>
      </c>
      <c r="E6" s="12" t="s">
        <v>58</v>
      </c>
      <c r="F6" s="13" t="n">
        <v>84300</v>
      </c>
      <c r="G6" s="13" t="n">
        <v>12400</v>
      </c>
      <c r="H6" s="13" t="n">
        <v>1800</v>
      </c>
      <c r="I6" s="13" t="n">
        <v>4100</v>
      </c>
      <c r="J6" s="13" t="n">
        <v>18300</v>
      </c>
      <c r="K6" s="13" t="n">
        <v>7500</v>
      </c>
      <c r="L6" s="13" t="n">
        <v>5250</v>
      </c>
      <c r="M6" s="14" t="n">
        <v>0.7</v>
      </c>
      <c r="N6" s="14" t="n">
        <v>0.55</v>
      </c>
      <c r="O6" s="23" t="n">
        <v>0.28</v>
      </c>
      <c r="P6" s="13" t="n">
        <v>3000</v>
      </c>
      <c r="Q6" s="11" t="s">
        <v>59</v>
      </c>
      <c r="R6" s="16" t="s">
        <v>60</v>
      </c>
    </row>
    <row r="7" customFormat="false" ht="21.75" hidden="false" customHeight="true" outlineLevel="0" collapsed="false">
      <c r="A7" s="17" t="s">
        <v>61</v>
      </c>
      <c r="B7" s="18" t="s">
        <v>62</v>
      </c>
      <c r="C7" s="17" t="s">
        <v>63</v>
      </c>
      <c r="D7" s="17" t="s">
        <v>45</v>
      </c>
      <c r="E7" s="18" t="s">
        <v>64</v>
      </c>
      <c r="F7" s="19" t="n">
        <v>14200</v>
      </c>
      <c r="G7" s="19" t="n">
        <v>11800</v>
      </c>
      <c r="H7" s="19" t="n">
        <v>340</v>
      </c>
      <c r="I7" s="19" t="n">
        <v>2100</v>
      </c>
      <c r="J7" s="19" t="n">
        <v>14240</v>
      </c>
      <c r="K7" s="19" t="n">
        <v>3100</v>
      </c>
      <c r="L7" s="19" t="n">
        <v>465</v>
      </c>
      <c r="M7" s="20" t="n">
        <v>0.15</v>
      </c>
      <c r="N7" s="20" t="n">
        <v>0.08</v>
      </c>
      <c r="O7" s="24" t="n">
        <v>0.88</v>
      </c>
      <c r="P7" s="19" t="n">
        <v>750</v>
      </c>
      <c r="Q7" s="17" t="s">
        <v>65</v>
      </c>
      <c r="R7" s="22" t="s">
        <v>66</v>
      </c>
    </row>
    <row r="8" customFormat="false" ht="21.75" hidden="false" customHeight="true" outlineLevel="0" collapsed="false">
      <c r="A8" s="11" t="s">
        <v>67</v>
      </c>
      <c r="B8" s="12" t="s">
        <v>68</v>
      </c>
      <c r="C8" s="11" t="s">
        <v>69</v>
      </c>
      <c r="D8" s="11" t="s">
        <v>70</v>
      </c>
      <c r="E8" s="12" t="s">
        <v>71</v>
      </c>
      <c r="F8" s="13" t="n">
        <v>6800</v>
      </c>
      <c r="G8" s="13" t="n">
        <v>280</v>
      </c>
      <c r="H8" s="13" t="n">
        <v>190</v>
      </c>
      <c r="I8" s="13" t="n">
        <v>840</v>
      </c>
      <c r="J8" s="13" t="n">
        <v>1310</v>
      </c>
      <c r="K8" s="13" t="n">
        <v>1200</v>
      </c>
      <c r="L8" s="13" t="n">
        <v>840</v>
      </c>
      <c r="M8" s="14" t="n">
        <v>0.7</v>
      </c>
      <c r="N8" s="14" t="n">
        <v>0.68</v>
      </c>
      <c r="O8" s="15" t="n">
        <v>0.05</v>
      </c>
      <c r="P8" s="13" t="n">
        <v>600</v>
      </c>
      <c r="Q8" s="11" t="s">
        <v>72</v>
      </c>
      <c r="R8" s="16" t="s">
        <v>73</v>
      </c>
    </row>
    <row r="9" customFormat="false" ht="21.75" hidden="false" customHeight="true" outlineLevel="0" collapsed="false">
      <c r="A9" s="17" t="s">
        <v>74</v>
      </c>
      <c r="B9" s="18" t="s">
        <v>75</v>
      </c>
      <c r="C9" s="17" t="s">
        <v>44</v>
      </c>
      <c r="D9" s="17" t="s">
        <v>76</v>
      </c>
      <c r="E9" s="18" t="s">
        <v>77</v>
      </c>
      <c r="F9" s="19" t="n">
        <v>16000</v>
      </c>
      <c r="G9" s="19" t="n">
        <v>340</v>
      </c>
      <c r="H9" s="19" t="n">
        <v>210</v>
      </c>
      <c r="I9" s="19" t="n">
        <v>1200</v>
      </c>
      <c r="J9" s="19" t="n">
        <v>1750</v>
      </c>
      <c r="K9" s="19" t="n">
        <v>1900</v>
      </c>
      <c r="L9" s="19" t="n">
        <v>1710</v>
      </c>
      <c r="M9" s="20" t="n">
        <v>0.9</v>
      </c>
      <c r="N9" s="20" t="n">
        <v>0.9</v>
      </c>
      <c r="O9" s="25" t="n">
        <v>0</v>
      </c>
      <c r="P9" s="19" t="n">
        <v>1000</v>
      </c>
      <c r="Q9" s="17" t="s">
        <v>78</v>
      </c>
      <c r="R9" s="22" t="s">
        <v>79</v>
      </c>
    </row>
    <row r="10" customFormat="false" ht="21.75" hidden="false" customHeight="true" outlineLevel="0" collapsed="false">
      <c r="A10" s="11" t="s">
        <v>80</v>
      </c>
      <c r="B10" s="12" t="s">
        <v>81</v>
      </c>
      <c r="C10" s="11" t="s">
        <v>82</v>
      </c>
      <c r="D10" s="11" t="s">
        <v>76</v>
      </c>
      <c r="E10" s="12" t="s">
        <v>83</v>
      </c>
      <c r="F10" s="13" t="n">
        <v>26700</v>
      </c>
      <c r="G10" s="13" t="n">
        <v>28400</v>
      </c>
      <c r="H10" s="13" t="n">
        <v>1600</v>
      </c>
      <c r="I10" s="13" t="n">
        <v>4800</v>
      </c>
      <c r="J10" s="13" t="n">
        <v>34800</v>
      </c>
      <c r="K10" s="13" t="n">
        <v>2800</v>
      </c>
      <c r="L10" s="13" t="n">
        <v>840</v>
      </c>
      <c r="M10" s="14" t="n">
        <v>0.3</v>
      </c>
      <c r="N10" s="14" t="n">
        <v>0.14</v>
      </c>
      <c r="O10" s="26" t="n">
        <v>0.72</v>
      </c>
      <c r="P10" s="13" t="n">
        <v>1200</v>
      </c>
      <c r="Q10" s="11" t="s">
        <v>47</v>
      </c>
      <c r="R10" s="16" t="s">
        <v>84</v>
      </c>
    </row>
    <row r="11" customFormat="false" ht="21.75" hidden="false" customHeight="true" outlineLevel="0" collapsed="false">
      <c r="A11" s="17" t="s">
        <v>85</v>
      </c>
      <c r="B11" s="18" t="s">
        <v>86</v>
      </c>
      <c r="C11" s="17" t="s">
        <v>87</v>
      </c>
      <c r="D11" s="17" t="s">
        <v>76</v>
      </c>
      <c r="E11" s="18" t="s">
        <v>88</v>
      </c>
      <c r="F11" s="19" t="n">
        <v>79800</v>
      </c>
      <c r="G11" s="19" t="n">
        <v>98200</v>
      </c>
      <c r="H11" s="19" t="n">
        <v>4200</v>
      </c>
      <c r="I11" s="19" t="n">
        <v>12400</v>
      </c>
      <c r="J11" s="19" t="n">
        <v>114800</v>
      </c>
      <c r="K11" s="19" t="n">
        <v>4200</v>
      </c>
      <c r="L11" s="19" t="n">
        <v>840</v>
      </c>
      <c r="M11" s="20" t="n">
        <v>0.2</v>
      </c>
      <c r="N11" s="20" t="n">
        <v>0.08</v>
      </c>
      <c r="O11" s="24" t="n">
        <v>0.65</v>
      </c>
      <c r="P11" s="19" t="n">
        <v>2000</v>
      </c>
      <c r="Q11" s="17" t="s">
        <v>89</v>
      </c>
      <c r="R11" s="22" t="s">
        <v>90</v>
      </c>
    </row>
    <row r="12" customFormat="false" ht="21.75" hidden="false" customHeight="true" outlineLevel="0" collapsed="false">
      <c r="A12" s="11" t="s">
        <v>91</v>
      </c>
      <c r="B12" s="12" t="s">
        <v>92</v>
      </c>
      <c r="C12" s="11" t="s">
        <v>69</v>
      </c>
      <c r="D12" s="11" t="s">
        <v>70</v>
      </c>
      <c r="E12" s="12" t="s">
        <v>93</v>
      </c>
      <c r="F12" s="13" t="n">
        <v>16500</v>
      </c>
      <c r="G12" s="13" t="n">
        <v>820</v>
      </c>
      <c r="H12" s="13" t="n">
        <v>340</v>
      </c>
      <c r="I12" s="13" t="n">
        <v>2100</v>
      </c>
      <c r="J12" s="13" t="n">
        <v>3260</v>
      </c>
      <c r="K12" s="13" t="n">
        <v>2100</v>
      </c>
      <c r="L12" s="13" t="n">
        <v>1890</v>
      </c>
      <c r="M12" s="14" t="n">
        <v>0.9</v>
      </c>
      <c r="N12" s="14" t="n">
        <v>0.92</v>
      </c>
      <c r="O12" s="15" t="n">
        <v>0</v>
      </c>
      <c r="P12" s="13" t="n">
        <v>1500</v>
      </c>
      <c r="Q12" s="11" t="s">
        <v>72</v>
      </c>
      <c r="R12" s="16" t="s">
        <v>94</v>
      </c>
    </row>
    <row r="13" customFormat="false" ht="21.75" hidden="false" customHeight="true" outlineLevel="0" collapsed="false">
      <c r="A13" s="17" t="s">
        <v>95</v>
      </c>
      <c r="B13" s="18" t="s">
        <v>96</v>
      </c>
      <c r="C13" s="17" t="s">
        <v>97</v>
      </c>
      <c r="D13" s="17" t="s">
        <v>70</v>
      </c>
      <c r="E13" s="18" t="s">
        <v>98</v>
      </c>
      <c r="F13" s="19" t="n">
        <v>20300</v>
      </c>
      <c r="G13" s="19" t="n">
        <v>1200</v>
      </c>
      <c r="H13" s="19" t="n">
        <v>840</v>
      </c>
      <c r="I13" s="19" t="n">
        <v>1800</v>
      </c>
      <c r="J13" s="19" t="n">
        <v>3840</v>
      </c>
      <c r="K13" s="19" t="n">
        <v>6800</v>
      </c>
      <c r="L13" s="19" t="n">
        <v>5440</v>
      </c>
      <c r="M13" s="20" t="n">
        <v>0.8</v>
      </c>
      <c r="N13" s="20" t="n">
        <v>0.78</v>
      </c>
      <c r="O13" s="25" t="n">
        <v>0.08</v>
      </c>
      <c r="P13" s="19" t="n">
        <v>2500</v>
      </c>
      <c r="Q13" s="17" t="s">
        <v>99</v>
      </c>
      <c r="R13" s="22" t="s">
        <v>100</v>
      </c>
    </row>
    <row r="14" customFormat="false" ht="21.75" hidden="false" customHeight="true" outlineLevel="0" collapsed="false">
      <c r="A14" s="11" t="s">
        <v>101</v>
      </c>
      <c r="B14" s="12" t="s">
        <v>102</v>
      </c>
      <c r="C14" s="11" t="s">
        <v>69</v>
      </c>
      <c r="D14" s="11" t="s">
        <v>45</v>
      </c>
      <c r="E14" s="12" t="s">
        <v>103</v>
      </c>
      <c r="F14" s="13" t="n">
        <v>73500</v>
      </c>
      <c r="G14" s="13" t="n">
        <v>14200</v>
      </c>
      <c r="H14" s="13" t="n">
        <v>1800</v>
      </c>
      <c r="I14" s="13" t="n">
        <v>5600</v>
      </c>
      <c r="J14" s="13" t="n">
        <v>21600</v>
      </c>
      <c r="K14" s="13" t="n">
        <v>4800</v>
      </c>
      <c r="L14" s="13" t="n">
        <v>3360</v>
      </c>
      <c r="M14" s="14" t="n">
        <v>0.7</v>
      </c>
      <c r="N14" s="14" t="n">
        <v>0.58</v>
      </c>
      <c r="O14" s="15" t="n">
        <v>0.22</v>
      </c>
      <c r="P14" s="13" t="n">
        <v>2200</v>
      </c>
      <c r="Q14" s="11" t="s">
        <v>78</v>
      </c>
      <c r="R14" s="16" t="s">
        <v>104</v>
      </c>
    </row>
    <row r="15" customFormat="false" ht="21.75" hidden="false" customHeight="true" outlineLevel="0" collapsed="false">
      <c r="A15" s="17" t="s">
        <v>105</v>
      </c>
      <c r="B15" s="18" t="s">
        <v>106</v>
      </c>
      <c r="C15" s="17" t="s">
        <v>51</v>
      </c>
      <c r="D15" s="17" t="s">
        <v>76</v>
      </c>
      <c r="E15" s="18" t="s">
        <v>107</v>
      </c>
      <c r="F15" s="19" t="n">
        <v>29800</v>
      </c>
      <c r="G15" s="19" t="n">
        <v>1200</v>
      </c>
      <c r="H15" s="19" t="n">
        <v>640</v>
      </c>
      <c r="I15" s="19" t="n">
        <v>3800</v>
      </c>
      <c r="J15" s="19" t="n">
        <v>5640</v>
      </c>
      <c r="K15" s="19" t="n">
        <v>2400</v>
      </c>
      <c r="L15" s="19" t="n">
        <v>1680</v>
      </c>
      <c r="M15" s="20" t="n">
        <v>0.7</v>
      </c>
      <c r="N15" s="20" t="n">
        <v>0.62</v>
      </c>
      <c r="O15" s="25" t="n">
        <v>0.15</v>
      </c>
      <c r="P15" s="19" t="n">
        <v>1800</v>
      </c>
      <c r="Q15" s="17" t="s">
        <v>47</v>
      </c>
      <c r="R15" s="22" t="s">
        <v>108</v>
      </c>
    </row>
    <row r="16" customFormat="false" ht="21.75" hidden="false" customHeight="true" outlineLevel="0" collapsed="false">
      <c r="A16" s="11" t="s">
        <v>109</v>
      </c>
      <c r="B16" s="12" t="s">
        <v>110</v>
      </c>
      <c r="C16" s="11" t="s">
        <v>111</v>
      </c>
      <c r="D16" s="11" t="s">
        <v>76</v>
      </c>
      <c r="E16" s="12" t="s">
        <v>88</v>
      </c>
      <c r="F16" s="13" t="n">
        <v>22000</v>
      </c>
      <c r="G16" s="13" t="n">
        <v>18400</v>
      </c>
      <c r="H16" s="13" t="n">
        <v>2100</v>
      </c>
      <c r="I16" s="13" t="n">
        <v>4200</v>
      </c>
      <c r="J16" s="13" t="n">
        <v>24700</v>
      </c>
      <c r="K16" s="13" t="n">
        <v>1800</v>
      </c>
      <c r="L16" s="13" t="n">
        <v>270</v>
      </c>
      <c r="M16" s="14" t="n">
        <v>0.15</v>
      </c>
      <c r="N16" s="14" t="n">
        <v>0.06</v>
      </c>
      <c r="O16" s="26" t="n">
        <v>0.75</v>
      </c>
      <c r="P16" s="13" t="n">
        <v>800</v>
      </c>
      <c r="Q16" s="11" t="s">
        <v>53</v>
      </c>
      <c r="R16" s="16" t="s">
        <v>112</v>
      </c>
    </row>
    <row r="17" customFormat="false" ht="21.75" hidden="false" customHeight="true" outlineLevel="0" collapsed="false">
      <c r="A17" s="17" t="s">
        <v>113</v>
      </c>
      <c r="B17" s="18" t="s">
        <v>114</v>
      </c>
      <c r="C17" s="17" t="s">
        <v>115</v>
      </c>
      <c r="D17" s="17" t="s">
        <v>45</v>
      </c>
      <c r="E17" s="18" t="s">
        <v>116</v>
      </c>
      <c r="F17" s="19" t="n">
        <v>50100</v>
      </c>
      <c r="G17" s="19" t="n">
        <v>4800</v>
      </c>
      <c r="H17" s="19" t="n">
        <v>640</v>
      </c>
      <c r="I17" s="19" t="n">
        <v>2400</v>
      </c>
      <c r="J17" s="19" t="n">
        <v>7840</v>
      </c>
      <c r="K17" s="19" t="n">
        <v>9600</v>
      </c>
      <c r="L17" s="19" t="n">
        <v>9120</v>
      </c>
      <c r="M17" s="20" t="n">
        <v>0.95</v>
      </c>
      <c r="N17" s="20" t="n">
        <v>0.82</v>
      </c>
      <c r="O17" s="25" t="n">
        <v>0.06</v>
      </c>
      <c r="P17" s="19" t="n">
        <v>3500</v>
      </c>
      <c r="Q17" s="17" t="s">
        <v>117</v>
      </c>
      <c r="R17" s="22" t="s">
        <v>118</v>
      </c>
    </row>
    <row r="18" customFormat="false" ht="21.75" hidden="false" customHeight="true" outlineLevel="0" collapsed="false">
      <c r="A18" s="11" t="s">
        <v>119</v>
      </c>
      <c r="B18" s="12" t="s">
        <v>120</v>
      </c>
      <c r="C18" s="11" t="s">
        <v>51</v>
      </c>
      <c r="D18" s="11" t="s">
        <v>76</v>
      </c>
      <c r="E18" s="12" t="s">
        <v>121</v>
      </c>
      <c r="F18" s="13" t="n">
        <v>22300</v>
      </c>
      <c r="G18" s="13" t="n">
        <v>18900</v>
      </c>
      <c r="H18" s="13" t="n">
        <v>1400</v>
      </c>
      <c r="I18" s="13" t="n">
        <v>3600</v>
      </c>
      <c r="J18" s="13" t="n">
        <v>23900</v>
      </c>
      <c r="K18" s="13" t="n">
        <v>1900</v>
      </c>
      <c r="L18" s="13" t="n">
        <v>475</v>
      </c>
      <c r="M18" s="14" t="n">
        <v>0.25</v>
      </c>
      <c r="N18" s="14" t="n">
        <v>0.12</v>
      </c>
      <c r="O18" s="26" t="n">
        <v>0.68</v>
      </c>
      <c r="P18" s="13" t="n">
        <v>900</v>
      </c>
      <c r="Q18" s="11" t="s">
        <v>72</v>
      </c>
      <c r="R18" s="16" t="s">
        <v>122</v>
      </c>
    </row>
    <row r="19" customFormat="false" ht="21.75" hidden="false" customHeight="true" outlineLevel="0" collapsed="false">
      <c r="A19" s="17" t="s">
        <v>123</v>
      </c>
      <c r="B19" s="18" t="s">
        <v>124</v>
      </c>
      <c r="C19" s="17" t="s">
        <v>57</v>
      </c>
      <c r="D19" s="17" t="s">
        <v>70</v>
      </c>
      <c r="E19" s="18" t="s">
        <v>125</v>
      </c>
      <c r="F19" s="19" t="n">
        <v>2800</v>
      </c>
      <c r="G19" s="19" t="n">
        <v>28</v>
      </c>
      <c r="H19" s="19" t="n">
        <v>84</v>
      </c>
      <c r="I19" s="19" t="n">
        <v>140</v>
      </c>
      <c r="J19" s="19" t="n">
        <v>252</v>
      </c>
      <c r="K19" s="19" t="n">
        <v>1400</v>
      </c>
      <c r="L19" s="19" t="n">
        <v>1260</v>
      </c>
      <c r="M19" s="20" t="n">
        <v>0.9</v>
      </c>
      <c r="N19" s="20" t="n">
        <v>0.88</v>
      </c>
      <c r="O19" s="25" t="n">
        <v>0</v>
      </c>
      <c r="P19" s="19" t="n">
        <v>800</v>
      </c>
      <c r="Q19" s="17" t="s">
        <v>59</v>
      </c>
      <c r="R19" s="22" t="s">
        <v>126</v>
      </c>
    </row>
    <row r="20" customFormat="false" ht="21.75" hidden="false" customHeight="true" outlineLevel="0" collapsed="false">
      <c r="A20" s="11" t="s">
        <v>127</v>
      </c>
      <c r="B20" s="12" t="s">
        <v>128</v>
      </c>
      <c r="C20" s="11" t="s">
        <v>69</v>
      </c>
      <c r="D20" s="11" t="s">
        <v>76</v>
      </c>
      <c r="E20" s="12" t="s">
        <v>129</v>
      </c>
      <c r="F20" s="13" t="n">
        <v>29900</v>
      </c>
      <c r="G20" s="13" t="n">
        <v>7800</v>
      </c>
      <c r="H20" s="13" t="n">
        <v>980</v>
      </c>
      <c r="I20" s="13" t="n">
        <v>1800</v>
      </c>
      <c r="J20" s="13" t="n">
        <v>10580</v>
      </c>
      <c r="K20" s="13" t="n">
        <v>3600</v>
      </c>
      <c r="L20" s="13" t="n">
        <v>1800</v>
      </c>
      <c r="M20" s="14" t="n">
        <v>0.5</v>
      </c>
      <c r="N20" s="14" t="n">
        <v>0.45</v>
      </c>
      <c r="O20" s="15" t="n">
        <v>0.12</v>
      </c>
      <c r="P20" s="13" t="n">
        <v>1000</v>
      </c>
      <c r="Q20" s="11" t="s">
        <v>47</v>
      </c>
      <c r="R20" s="16" t="s">
        <v>130</v>
      </c>
    </row>
    <row r="21" customFormat="false" ht="21.75" hidden="false" customHeight="true" outlineLevel="0" collapsed="false">
      <c r="A21" s="17" t="s">
        <v>131</v>
      </c>
      <c r="B21" s="18" t="s">
        <v>132</v>
      </c>
      <c r="C21" s="17" t="s">
        <v>97</v>
      </c>
      <c r="D21" s="17" t="s">
        <v>45</v>
      </c>
      <c r="E21" s="18" t="s">
        <v>133</v>
      </c>
      <c r="F21" s="19" t="n">
        <v>164000</v>
      </c>
      <c r="G21" s="19" t="n">
        <v>32000</v>
      </c>
      <c r="H21" s="19" t="n">
        <v>2100</v>
      </c>
      <c r="I21" s="19" t="n">
        <v>18400</v>
      </c>
      <c r="J21" s="19" t="n">
        <v>52500</v>
      </c>
      <c r="K21" s="19" t="n">
        <v>8200</v>
      </c>
      <c r="L21" s="19" t="n">
        <v>1640</v>
      </c>
      <c r="M21" s="20" t="n">
        <v>0.2</v>
      </c>
      <c r="N21" s="20" t="n">
        <v>0.15</v>
      </c>
      <c r="O21" s="24" t="n">
        <v>0.72</v>
      </c>
      <c r="P21" s="19" t="n">
        <v>2000</v>
      </c>
      <c r="Q21" s="17" t="s">
        <v>53</v>
      </c>
      <c r="R21" s="22" t="s">
        <v>134</v>
      </c>
    </row>
    <row r="22" customFormat="false" ht="21.75" hidden="false" customHeight="true" outlineLevel="0" collapsed="false">
      <c r="A22" s="11" t="s">
        <v>135</v>
      </c>
      <c r="B22" s="12" t="s">
        <v>136</v>
      </c>
      <c r="C22" s="11" t="s">
        <v>51</v>
      </c>
      <c r="D22" s="11" t="s">
        <v>70</v>
      </c>
      <c r="E22" s="12" t="s">
        <v>98</v>
      </c>
      <c r="F22" s="13" t="n">
        <v>1800</v>
      </c>
      <c r="G22" s="13" t="n">
        <v>18</v>
      </c>
      <c r="H22" s="13" t="n">
        <v>42</v>
      </c>
      <c r="I22" s="13" t="n">
        <v>84</v>
      </c>
      <c r="J22" s="13" t="n">
        <v>144</v>
      </c>
      <c r="K22" s="13" t="n">
        <v>2200</v>
      </c>
      <c r="L22" s="13" t="n">
        <v>2090</v>
      </c>
      <c r="M22" s="14" t="n">
        <v>0.95</v>
      </c>
      <c r="N22" s="14" t="n">
        <v>0.96</v>
      </c>
      <c r="O22" s="15" t="n">
        <v>0</v>
      </c>
      <c r="P22" s="13" t="n">
        <v>600</v>
      </c>
      <c r="Q22" s="11" t="s">
        <v>89</v>
      </c>
      <c r="R22" s="16" t="s">
        <v>137</v>
      </c>
    </row>
    <row r="23" customFormat="false" ht="21.75" hidden="false" customHeight="true" outlineLevel="0" collapsed="false">
      <c r="A23" s="17" t="s">
        <v>138</v>
      </c>
      <c r="B23" s="18" t="s">
        <v>139</v>
      </c>
      <c r="C23" s="17" t="s">
        <v>69</v>
      </c>
      <c r="D23" s="17" t="s">
        <v>45</v>
      </c>
      <c r="E23" s="18" t="s">
        <v>133</v>
      </c>
      <c r="F23" s="19" t="n">
        <v>218000</v>
      </c>
      <c r="G23" s="19" t="n">
        <v>39000</v>
      </c>
      <c r="H23" s="19" t="n">
        <v>2400</v>
      </c>
      <c r="I23" s="19" t="n">
        <v>22000</v>
      </c>
      <c r="J23" s="19" t="n">
        <v>63400</v>
      </c>
      <c r="K23" s="19" t="n">
        <v>9800</v>
      </c>
      <c r="L23" s="19" t="n">
        <v>2450</v>
      </c>
      <c r="M23" s="20" t="n">
        <v>0.25</v>
      </c>
      <c r="N23" s="20" t="n">
        <v>0.2</v>
      </c>
      <c r="O23" s="24" t="n">
        <v>0.65</v>
      </c>
      <c r="P23" s="19" t="n">
        <v>2500</v>
      </c>
      <c r="Q23" s="17" t="s">
        <v>78</v>
      </c>
      <c r="R23" s="22" t="s">
        <v>140</v>
      </c>
    </row>
    <row r="24" customFormat="false" ht="24" hidden="false" customHeight="true" outlineLevel="0" collapsed="false">
      <c r="A24" s="27" t="s">
        <v>141</v>
      </c>
      <c r="B24" s="27"/>
      <c r="C24" s="27"/>
      <c r="D24" s="27"/>
      <c r="E24" s="27"/>
      <c r="F24" s="28" t="n">
        <f aca="false">SUM(F4:F23)</f>
        <v>902600</v>
      </c>
      <c r="G24" s="28" t="n">
        <f aca="false">SUM(G4:G23)</f>
        <v>298106</v>
      </c>
      <c r="H24" s="28" t="n">
        <f aca="false">SUM(H4:H23)</f>
        <v>22571</v>
      </c>
      <c r="I24" s="28" t="n">
        <f aca="false">SUM(I4:I23)</f>
        <v>94774</v>
      </c>
      <c r="J24" s="28" t="n">
        <f aca="false">SUM(J4:J23)</f>
        <v>415451</v>
      </c>
      <c r="K24" s="28" t="n">
        <f aca="false">SUM(K4:K23)</f>
        <v>83300</v>
      </c>
      <c r="L24" s="28" t="n">
        <f aca="false">SUM(L4:L23)</f>
        <v>47900</v>
      </c>
      <c r="M24" s="29" t="n">
        <f aca="false">L24/K24</f>
        <v>0.575030012004802</v>
      </c>
      <c r="N24" s="27" t="s">
        <v>142</v>
      </c>
      <c r="O24" s="27" t="s">
        <v>142</v>
      </c>
      <c r="P24" s="28" t="n">
        <f aca="false">SUM(P4:P23)</f>
        <v>32150</v>
      </c>
      <c r="Q24" s="27"/>
      <c r="R24" s="27"/>
    </row>
  </sheetData>
  <mergeCells count="1"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B83"/>
    <pageSetUpPr fitToPage="fals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9" min="4" style="0" width="11"/>
    <col collapsed="false" customWidth="true" hidden="false" outlineLevel="0" max="11" min="10" style="0" width="9"/>
    <col collapsed="false" customWidth="true" hidden="false" outlineLevel="0" max="13" min="12" style="0" width="10"/>
    <col collapsed="false" customWidth="true" hidden="false" outlineLevel="0" max="14" min="14" style="0" width="12"/>
    <col collapsed="false" customWidth="true" hidden="false" outlineLevel="0" max="15" min="15" style="0" width="14"/>
  </cols>
  <sheetData>
    <row r="1" customFormat="false" ht="30" hidden="false" customHeight="true" outlineLevel="0" collapsed="false">
      <c r="A1" s="30" t="s">
        <v>143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customFormat="false" ht="42" hidden="false" customHeight="true" outlineLevel="0" collapsed="false">
      <c r="A2" s="10" t="s">
        <v>24</v>
      </c>
      <c r="B2" s="10" t="s">
        <v>25</v>
      </c>
      <c r="C2" s="10" t="s">
        <v>27</v>
      </c>
      <c r="D2" s="10" t="s">
        <v>144</v>
      </c>
      <c r="E2" s="10" t="s">
        <v>145</v>
      </c>
      <c r="F2" s="10" t="s">
        <v>146</v>
      </c>
      <c r="G2" s="10" t="s">
        <v>147</v>
      </c>
      <c r="H2" s="10" t="s">
        <v>148</v>
      </c>
      <c r="I2" s="10" t="s">
        <v>149</v>
      </c>
      <c r="J2" s="10" t="s">
        <v>150</v>
      </c>
      <c r="K2" s="10" t="s">
        <v>151</v>
      </c>
      <c r="L2" s="10" t="s">
        <v>152</v>
      </c>
      <c r="M2" s="10" t="s">
        <v>153</v>
      </c>
      <c r="N2" s="10" t="s">
        <v>154</v>
      </c>
      <c r="O2" s="10" t="s">
        <v>155</v>
      </c>
    </row>
    <row r="3" customFormat="false" ht="19.5" hidden="false" customHeight="true" outlineLevel="0" collapsed="false">
      <c r="A3" s="31" t="s">
        <v>42</v>
      </c>
      <c r="B3" s="18" t="s">
        <v>43</v>
      </c>
      <c r="C3" s="18" t="s">
        <v>45</v>
      </c>
      <c r="D3" s="32" t="s">
        <v>156</v>
      </c>
      <c r="E3" s="33" t="s">
        <v>157</v>
      </c>
      <c r="F3" s="34" t="s">
        <v>158</v>
      </c>
      <c r="G3" s="34" t="s">
        <v>158</v>
      </c>
      <c r="H3" s="33" t="s">
        <v>157</v>
      </c>
      <c r="I3" s="34" t="s">
        <v>158</v>
      </c>
      <c r="J3" s="35" t="s">
        <v>157</v>
      </c>
      <c r="K3" s="35" t="s">
        <v>156</v>
      </c>
      <c r="L3" s="36" t="n">
        <v>0.95</v>
      </c>
      <c r="M3" s="36" t="n">
        <v>0.9</v>
      </c>
      <c r="N3" s="37" t="s">
        <v>159</v>
      </c>
      <c r="O3" s="38"/>
    </row>
    <row r="4" customFormat="false" ht="19.5" hidden="false" customHeight="true" outlineLevel="0" collapsed="false">
      <c r="A4" s="39" t="s">
        <v>49</v>
      </c>
      <c r="B4" s="40" t="s">
        <v>50</v>
      </c>
      <c r="C4" s="40" t="s">
        <v>45</v>
      </c>
      <c r="D4" s="34" t="s">
        <v>158</v>
      </c>
      <c r="E4" s="34" t="s">
        <v>158</v>
      </c>
      <c r="F4" s="41" t="s">
        <v>160</v>
      </c>
      <c r="G4" s="41" t="s">
        <v>160</v>
      </c>
      <c r="H4" s="34" t="s">
        <v>158</v>
      </c>
      <c r="I4" s="41" t="s">
        <v>160</v>
      </c>
      <c r="J4" s="42" t="s">
        <v>158</v>
      </c>
      <c r="K4" s="42" t="s">
        <v>158</v>
      </c>
      <c r="L4" s="43" t="n">
        <v>0.55</v>
      </c>
      <c r="M4" s="43" t="n">
        <v>0.35</v>
      </c>
      <c r="N4" s="44" t="s">
        <v>161</v>
      </c>
      <c r="O4" s="45"/>
    </row>
    <row r="5" customFormat="false" ht="19.5" hidden="false" customHeight="true" outlineLevel="0" collapsed="false">
      <c r="A5" s="31" t="s">
        <v>55</v>
      </c>
      <c r="B5" s="18" t="s">
        <v>56</v>
      </c>
      <c r="C5" s="18" t="s">
        <v>45</v>
      </c>
      <c r="D5" s="34" t="s">
        <v>158</v>
      </c>
      <c r="E5" s="34" t="s">
        <v>158</v>
      </c>
      <c r="F5" s="34" t="s">
        <v>158</v>
      </c>
      <c r="G5" s="41" t="s">
        <v>160</v>
      </c>
      <c r="H5" s="34" t="s">
        <v>158</v>
      </c>
      <c r="I5" s="41" t="s">
        <v>160</v>
      </c>
      <c r="J5" s="35" t="s">
        <v>158</v>
      </c>
      <c r="K5" s="35" t="s">
        <v>157</v>
      </c>
      <c r="L5" s="36" t="n">
        <v>0.62</v>
      </c>
      <c r="M5" s="36" t="n">
        <v>0.48</v>
      </c>
      <c r="N5" s="44" t="s">
        <v>161</v>
      </c>
      <c r="O5" s="45"/>
    </row>
    <row r="6" customFormat="false" ht="19.5" hidden="false" customHeight="true" outlineLevel="0" collapsed="false">
      <c r="A6" s="39" t="s">
        <v>61</v>
      </c>
      <c r="B6" s="40" t="s">
        <v>62</v>
      </c>
      <c r="C6" s="40" t="s">
        <v>45</v>
      </c>
      <c r="D6" s="46" t="s">
        <v>162</v>
      </c>
      <c r="E6" s="41" t="s">
        <v>160</v>
      </c>
      <c r="F6" s="46" t="s">
        <v>162</v>
      </c>
      <c r="G6" s="46" t="s">
        <v>162</v>
      </c>
      <c r="H6" s="41" t="s">
        <v>160</v>
      </c>
      <c r="I6" s="46" t="s">
        <v>162</v>
      </c>
      <c r="J6" s="42" t="s">
        <v>160</v>
      </c>
      <c r="K6" s="42" t="s">
        <v>160</v>
      </c>
      <c r="L6" s="43" t="n">
        <v>0.12</v>
      </c>
      <c r="M6" s="43" t="n">
        <v>0.06</v>
      </c>
      <c r="N6" s="47" t="s">
        <v>163</v>
      </c>
      <c r="O6" s="48"/>
    </row>
    <row r="7" customFormat="false" ht="19.5" hidden="false" customHeight="true" outlineLevel="0" collapsed="false">
      <c r="A7" s="31" t="s">
        <v>67</v>
      </c>
      <c r="B7" s="18" t="s">
        <v>68</v>
      </c>
      <c r="C7" s="18" t="s">
        <v>70</v>
      </c>
      <c r="D7" s="33" t="s">
        <v>157</v>
      </c>
      <c r="E7" s="34" t="s">
        <v>158</v>
      </c>
      <c r="F7" s="34" t="s">
        <v>158</v>
      </c>
      <c r="G7" s="33" t="s">
        <v>157</v>
      </c>
      <c r="H7" s="34" t="s">
        <v>158</v>
      </c>
      <c r="I7" s="34" t="s">
        <v>158</v>
      </c>
      <c r="J7" s="35" t="s">
        <v>157</v>
      </c>
      <c r="K7" s="35" t="s">
        <v>157</v>
      </c>
      <c r="L7" s="36" t="n">
        <v>0.75</v>
      </c>
      <c r="M7" s="36" t="n">
        <v>0.65</v>
      </c>
      <c r="N7" s="37" t="s">
        <v>159</v>
      </c>
      <c r="O7" s="38"/>
    </row>
    <row r="8" customFormat="false" ht="19.5" hidden="false" customHeight="true" outlineLevel="0" collapsed="false">
      <c r="A8" s="39" t="s">
        <v>74</v>
      </c>
      <c r="B8" s="40" t="s">
        <v>75</v>
      </c>
      <c r="C8" s="40" t="s">
        <v>76</v>
      </c>
      <c r="D8" s="32" t="s">
        <v>156</v>
      </c>
      <c r="E8" s="33" t="s">
        <v>157</v>
      </c>
      <c r="F8" s="34" t="s">
        <v>158</v>
      </c>
      <c r="G8" s="33" t="s">
        <v>157</v>
      </c>
      <c r="H8" s="33" t="s">
        <v>157</v>
      </c>
      <c r="I8" s="34" t="s">
        <v>158</v>
      </c>
      <c r="J8" s="42" t="s">
        <v>157</v>
      </c>
      <c r="K8" s="42" t="s">
        <v>156</v>
      </c>
      <c r="L8" s="43" t="n">
        <v>0.92</v>
      </c>
      <c r="M8" s="43" t="n">
        <v>0.85</v>
      </c>
      <c r="N8" s="37" t="s">
        <v>159</v>
      </c>
      <c r="O8" s="38"/>
    </row>
    <row r="9" customFormat="false" ht="19.5" hidden="false" customHeight="true" outlineLevel="0" collapsed="false">
      <c r="A9" s="31" t="s">
        <v>80</v>
      </c>
      <c r="B9" s="18" t="s">
        <v>81</v>
      </c>
      <c r="C9" s="18" t="s">
        <v>76</v>
      </c>
      <c r="D9" s="41" t="s">
        <v>160</v>
      </c>
      <c r="E9" s="41" t="s">
        <v>160</v>
      </c>
      <c r="F9" s="41" t="s">
        <v>160</v>
      </c>
      <c r="G9" s="41" t="s">
        <v>160</v>
      </c>
      <c r="H9" s="41" t="s">
        <v>160</v>
      </c>
      <c r="I9" s="41" t="s">
        <v>160</v>
      </c>
      <c r="J9" s="35" t="s">
        <v>160</v>
      </c>
      <c r="K9" s="35" t="s">
        <v>158</v>
      </c>
      <c r="L9" s="36" t="n">
        <v>0.25</v>
      </c>
      <c r="M9" s="36" t="n">
        <v>0.14</v>
      </c>
      <c r="N9" s="47" t="s">
        <v>163</v>
      </c>
      <c r="O9" s="48"/>
    </row>
    <row r="10" customFormat="false" ht="19.5" hidden="false" customHeight="true" outlineLevel="0" collapsed="false">
      <c r="A10" s="39" t="s">
        <v>85</v>
      </c>
      <c r="B10" s="40" t="s">
        <v>86</v>
      </c>
      <c r="C10" s="40" t="s">
        <v>76</v>
      </c>
      <c r="D10" s="41" t="s">
        <v>160</v>
      </c>
      <c r="E10" s="41" t="s">
        <v>160</v>
      </c>
      <c r="F10" s="46" t="s">
        <v>162</v>
      </c>
      <c r="G10" s="41" t="s">
        <v>160</v>
      </c>
      <c r="H10" s="41" t="s">
        <v>160</v>
      </c>
      <c r="I10" s="46" t="s">
        <v>162</v>
      </c>
      <c r="J10" s="42" t="s">
        <v>160</v>
      </c>
      <c r="K10" s="42" t="s">
        <v>160</v>
      </c>
      <c r="L10" s="43" t="n">
        <v>0.18</v>
      </c>
      <c r="M10" s="43" t="n">
        <v>0.08</v>
      </c>
      <c r="N10" s="47" t="s">
        <v>163</v>
      </c>
      <c r="O10" s="48"/>
    </row>
    <row r="11" customFormat="false" ht="19.5" hidden="false" customHeight="true" outlineLevel="0" collapsed="false">
      <c r="A11" s="31" t="s">
        <v>91</v>
      </c>
      <c r="B11" s="18" t="s">
        <v>92</v>
      </c>
      <c r="C11" s="18" t="s">
        <v>70</v>
      </c>
      <c r="D11" s="32" t="s">
        <v>156</v>
      </c>
      <c r="E11" s="33" t="s">
        <v>157</v>
      </c>
      <c r="F11" s="34" t="s">
        <v>158</v>
      </c>
      <c r="G11" s="34" t="s">
        <v>158</v>
      </c>
      <c r="H11" s="33" t="s">
        <v>157</v>
      </c>
      <c r="I11" s="34" t="s">
        <v>158</v>
      </c>
      <c r="J11" s="35" t="s">
        <v>157</v>
      </c>
      <c r="K11" s="35" t="s">
        <v>156</v>
      </c>
      <c r="L11" s="36" t="n">
        <v>0.94</v>
      </c>
      <c r="M11" s="36" t="n">
        <v>0.88</v>
      </c>
      <c r="N11" s="37" t="s">
        <v>159</v>
      </c>
      <c r="O11" s="38"/>
    </row>
    <row r="12" customFormat="false" ht="19.5" hidden="false" customHeight="true" outlineLevel="0" collapsed="false">
      <c r="A12" s="39" t="s">
        <v>95</v>
      </c>
      <c r="B12" s="40" t="s">
        <v>96</v>
      </c>
      <c r="C12" s="40" t="s">
        <v>70</v>
      </c>
      <c r="D12" s="33" t="s">
        <v>157</v>
      </c>
      <c r="E12" s="33" t="s">
        <v>157</v>
      </c>
      <c r="F12" s="34" t="s">
        <v>158</v>
      </c>
      <c r="G12" s="34" t="s">
        <v>158</v>
      </c>
      <c r="H12" s="33" t="s">
        <v>157</v>
      </c>
      <c r="I12" s="34" t="s">
        <v>158</v>
      </c>
      <c r="J12" s="42" t="s">
        <v>157</v>
      </c>
      <c r="K12" s="42" t="s">
        <v>157</v>
      </c>
      <c r="L12" s="43" t="n">
        <v>0.8</v>
      </c>
      <c r="M12" s="43" t="n">
        <v>0.72</v>
      </c>
      <c r="N12" s="37" t="s">
        <v>159</v>
      </c>
      <c r="O12" s="38"/>
    </row>
    <row r="13" customFormat="false" ht="19.5" hidden="false" customHeight="true" outlineLevel="0" collapsed="false">
      <c r="A13" s="31" t="s">
        <v>101</v>
      </c>
      <c r="B13" s="18" t="s">
        <v>102</v>
      </c>
      <c r="C13" s="18" t="s">
        <v>45</v>
      </c>
      <c r="D13" s="34" t="s">
        <v>158</v>
      </c>
      <c r="E13" s="34" t="s">
        <v>158</v>
      </c>
      <c r="F13" s="34" t="s">
        <v>158</v>
      </c>
      <c r="G13" s="41" t="s">
        <v>160</v>
      </c>
      <c r="H13" s="34" t="s">
        <v>158</v>
      </c>
      <c r="I13" s="41" t="s">
        <v>160</v>
      </c>
      <c r="J13" s="35" t="s">
        <v>158</v>
      </c>
      <c r="K13" s="35" t="s">
        <v>158</v>
      </c>
      <c r="L13" s="36" t="n">
        <v>0.6</v>
      </c>
      <c r="M13" s="36" t="n">
        <v>0.46</v>
      </c>
      <c r="N13" s="44" t="s">
        <v>161</v>
      </c>
      <c r="O13" s="45"/>
    </row>
    <row r="14" customFormat="false" ht="19.5" hidden="false" customHeight="true" outlineLevel="0" collapsed="false">
      <c r="A14" s="39" t="s">
        <v>105</v>
      </c>
      <c r="B14" s="40" t="s">
        <v>106</v>
      </c>
      <c r="C14" s="40" t="s">
        <v>76</v>
      </c>
      <c r="D14" s="33" t="s">
        <v>157</v>
      </c>
      <c r="E14" s="34" t="s">
        <v>158</v>
      </c>
      <c r="F14" s="34" t="s">
        <v>158</v>
      </c>
      <c r="G14" s="34" t="s">
        <v>158</v>
      </c>
      <c r="H14" s="34" t="s">
        <v>158</v>
      </c>
      <c r="I14" s="34" t="s">
        <v>158</v>
      </c>
      <c r="J14" s="42" t="s">
        <v>158</v>
      </c>
      <c r="K14" s="42" t="s">
        <v>157</v>
      </c>
      <c r="L14" s="43" t="n">
        <v>0.68</v>
      </c>
      <c r="M14" s="43" t="n">
        <v>0.58</v>
      </c>
      <c r="N14" s="44" t="s">
        <v>161</v>
      </c>
      <c r="O14" s="45"/>
    </row>
    <row r="15" customFormat="false" ht="19.5" hidden="false" customHeight="true" outlineLevel="0" collapsed="false">
      <c r="A15" s="31" t="s">
        <v>109</v>
      </c>
      <c r="B15" s="18" t="s">
        <v>110</v>
      </c>
      <c r="C15" s="18" t="s">
        <v>76</v>
      </c>
      <c r="D15" s="41" t="s">
        <v>160</v>
      </c>
      <c r="E15" s="41" t="s">
        <v>160</v>
      </c>
      <c r="F15" s="46" t="s">
        <v>162</v>
      </c>
      <c r="G15" s="41" t="s">
        <v>160</v>
      </c>
      <c r="H15" s="41" t="s">
        <v>160</v>
      </c>
      <c r="I15" s="46" t="s">
        <v>162</v>
      </c>
      <c r="J15" s="35" t="s">
        <v>160</v>
      </c>
      <c r="K15" s="35" t="s">
        <v>160</v>
      </c>
      <c r="L15" s="36" t="n">
        <v>0.14</v>
      </c>
      <c r="M15" s="36" t="n">
        <v>0.06</v>
      </c>
      <c r="N15" s="47" t="s">
        <v>163</v>
      </c>
      <c r="O15" s="48"/>
    </row>
    <row r="16" customFormat="false" ht="19.5" hidden="false" customHeight="true" outlineLevel="0" collapsed="false">
      <c r="A16" s="39" t="s">
        <v>113</v>
      </c>
      <c r="B16" s="40" t="s">
        <v>114</v>
      </c>
      <c r="C16" s="40" t="s">
        <v>45</v>
      </c>
      <c r="D16" s="33" t="s">
        <v>157</v>
      </c>
      <c r="E16" s="33" t="s">
        <v>157</v>
      </c>
      <c r="F16" s="34" t="s">
        <v>158</v>
      </c>
      <c r="G16" s="34" t="s">
        <v>158</v>
      </c>
      <c r="H16" s="33" t="s">
        <v>157</v>
      </c>
      <c r="I16" s="34" t="s">
        <v>158</v>
      </c>
      <c r="J16" s="42" t="s">
        <v>157</v>
      </c>
      <c r="K16" s="42" t="s">
        <v>157</v>
      </c>
      <c r="L16" s="43" t="n">
        <v>0.86</v>
      </c>
      <c r="M16" s="43" t="n">
        <v>0.78</v>
      </c>
      <c r="N16" s="37" t="s">
        <v>159</v>
      </c>
      <c r="O16" s="38"/>
    </row>
    <row r="17" customFormat="false" ht="19.5" hidden="false" customHeight="true" outlineLevel="0" collapsed="false">
      <c r="A17" s="31" t="s">
        <v>119</v>
      </c>
      <c r="B17" s="18" t="s">
        <v>120</v>
      </c>
      <c r="C17" s="18" t="s">
        <v>76</v>
      </c>
      <c r="D17" s="41" t="s">
        <v>160</v>
      </c>
      <c r="E17" s="41" t="s">
        <v>160</v>
      </c>
      <c r="F17" s="41" t="s">
        <v>160</v>
      </c>
      <c r="G17" s="41" t="s">
        <v>160</v>
      </c>
      <c r="H17" s="41" t="s">
        <v>160</v>
      </c>
      <c r="I17" s="41" t="s">
        <v>160</v>
      </c>
      <c r="J17" s="35" t="s">
        <v>160</v>
      </c>
      <c r="K17" s="35" t="s">
        <v>160</v>
      </c>
      <c r="L17" s="36" t="n">
        <v>0.2</v>
      </c>
      <c r="M17" s="36" t="n">
        <v>0.1</v>
      </c>
      <c r="N17" s="47" t="s">
        <v>163</v>
      </c>
      <c r="O17" s="48"/>
    </row>
    <row r="18" customFormat="false" ht="19.5" hidden="false" customHeight="true" outlineLevel="0" collapsed="false">
      <c r="A18" s="39" t="s">
        <v>123</v>
      </c>
      <c r="B18" s="40" t="s">
        <v>124</v>
      </c>
      <c r="C18" s="40" t="s">
        <v>70</v>
      </c>
      <c r="D18" s="33" t="s">
        <v>157</v>
      </c>
      <c r="E18" s="33" t="s">
        <v>157</v>
      </c>
      <c r="F18" s="34" t="s">
        <v>158</v>
      </c>
      <c r="G18" s="34" t="s">
        <v>158</v>
      </c>
      <c r="H18" s="33" t="s">
        <v>157</v>
      </c>
      <c r="I18" s="34" t="s">
        <v>158</v>
      </c>
      <c r="J18" s="42" t="s">
        <v>157</v>
      </c>
      <c r="K18" s="42" t="s">
        <v>156</v>
      </c>
      <c r="L18" s="43" t="n">
        <v>0.9</v>
      </c>
      <c r="M18" s="43" t="n">
        <v>0.84</v>
      </c>
      <c r="N18" s="37" t="s">
        <v>159</v>
      </c>
      <c r="O18" s="38"/>
    </row>
    <row r="19" customFormat="false" ht="19.5" hidden="false" customHeight="true" outlineLevel="0" collapsed="false">
      <c r="A19" s="31" t="s">
        <v>127</v>
      </c>
      <c r="B19" s="18" t="s">
        <v>128</v>
      </c>
      <c r="C19" s="18" t="s">
        <v>76</v>
      </c>
      <c r="D19" s="34" t="s">
        <v>158</v>
      </c>
      <c r="E19" s="34" t="s">
        <v>158</v>
      </c>
      <c r="F19" s="34" t="s">
        <v>158</v>
      </c>
      <c r="G19" s="34" t="s">
        <v>158</v>
      </c>
      <c r="H19" s="34" t="s">
        <v>158</v>
      </c>
      <c r="I19" s="41" t="s">
        <v>160</v>
      </c>
      <c r="J19" s="35" t="s">
        <v>158</v>
      </c>
      <c r="K19" s="35" t="s">
        <v>158</v>
      </c>
      <c r="L19" s="36" t="n">
        <v>0.48</v>
      </c>
      <c r="M19" s="36" t="n">
        <v>0.36</v>
      </c>
      <c r="N19" s="44" t="s">
        <v>161</v>
      </c>
      <c r="O19" s="45"/>
    </row>
    <row r="20" customFormat="false" ht="19.5" hidden="false" customHeight="true" outlineLevel="0" collapsed="false">
      <c r="A20" s="39" t="s">
        <v>131</v>
      </c>
      <c r="B20" s="40" t="s">
        <v>132</v>
      </c>
      <c r="C20" s="40" t="s">
        <v>45</v>
      </c>
      <c r="D20" s="46" t="s">
        <v>162</v>
      </c>
      <c r="E20" s="41" t="s">
        <v>160</v>
      </c>
      <c r="F20" s="46" t="s">
        <v>162</v>
      </c>
      <c r="G20" s="46" t="s">
        <v>162</v>
      </c>
      <c r="H20" s="41" t="s">
        <v>160</v>
      </c>
      <c r="I20" s="46" t="s">
        <v>162</v>
      </c>
      <c r="J20" s="42" t="s">
        <v>160</v>
      </c>
      <c r="K20" s="42" t="s">
        <v>160</v>
      </c>
      <c r="L20" s="43" t="n">
        <v>0.18</v>
      </c>
      <c r="M20" s="43" t="n">
        <v>0.08</v>
      </c>
      <c r="N20" s="47" t="s">
        <v>163</v>
      </c>
      <c r="O20" s="48"/>
    </row>
    <row r="21" customFormat="false" ht="19.5" hidden="false" customHeight="true" outlineLevel="0" collapsed="false">
      <c r="A21" s="31" t="s">
        <v>135</v>
      </c>
      <c r="B21" s="18" t="s">
        <v>136</v>
      </c>
      <c r="C21" s="18" t="s">
        <v>70</v>
      </c>
      <c r="D21" s="32" t="s">
        <v>156</v>
      </c>
      <c r="E21" s="33" t="s">
        <v>157</v>
      </c>
      <c r="F21" s="34" t="s">
        <v>158</v>
      </c>
      <c r="G21" s="34" t="s">
        <v>158</v>
      </c>
      <c r="H21" s="33" t="s">
        <v>157</v>
      </c>
      <c r="I21" s="34" t="s">
        <v>158</v>
      </c>
      <c r="J21" s="35" t="s">
        <v>156</v>
      </c>
      <c r="K21" s="35" t="s">
        <v>156</v>
      </c>
      <c r="L21" s="36" t="n">
        <v>0.98</v>
      </c>
      <c r="M21" s="36" t="n">
        <v>0.94</v>
      </c>
      <c r="N21" s="37" t="s">
        <v>159</v>
      </c>
      <c r="O21" s="38"/>
    </row>
    <row r="22" customFormat="false" ht="19.5" hidden="false" customHeight="true" outlineLevel="0" collapsed="false">
      <c r="A22" s="39" t="s">
        <v>138</v>
      </c>
      <c r="B22" s="40" t="s">
        <v>139</v>
      </c>
      <c r="C22" s="40" t="s">
        <v>45</v>
      </c>
      <c r="D22" s="41" t="s">
        <v>160</v>
      </c>
      <c r="E22" s="41" t="s">
        <v>160</v>
      </c>
      <c r="F22" s="41" t="s">
        <v>160</v>
      </c>
      <c r="G22" s="46" t="s">
        <v>162</v>
      </c>
      <c r="H22" s="41" t="s">
        <v>160</v>
      </c>
      <c r="I22" s="46" t="s">
        <v>162</v>
      </c>
      <c r="J22" s="42" t="s">
        <v>160</v>
      </c>
      <c r="K22" s="42" t="s">
        <v>160</v>
      </c>
      <c r="L22" s="43" t="n">
        <v>0.22</v>
      </c>
      <c r="M22" s="43" t="n">
        <v>0.1</v>
      </c>
      <c r="N22" s="47" t="s">
        <v>163</v>
      </c>
      <c r="O22" s="48"/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9" min="5" style="0" width="10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6" min="15" style="0" width="12"/>
  </cols>
  <sheetData>
    <row r="1" customFormat="false" ht="30" hidden="false" customHeight="true" outlineLevel="0" collapsed="false">
      <c r="A1" s="30" t="s">
        <v>164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customFormat="false" ht="42" hidden="false" customHeight="true" outlineLevel="0" collapsed="false">
      <c r="A2" s="49" t="s">
        <v>24</v>
      </c>
      <c r="B2" s="49" t="s">
        <v>25</v>
      </c>
      <c r="C2" s="49" t="s">
        <v>27</v>
      </c>
      <c r="D2" s="49" t="s">
        <v>165</v>
      </c>
      <c r="E2" s="49" t="s">
        <v>166</v>
      </c>
      <c r="F2" s="49" t="s">
        <v>167</v>
      </c>
      <c r="G2" s="49" t="s">
        <v>168</v>
      </c>
      <c r="H2" s="49" t="s">
        <v>169</v>
      </c>
      <c r="I2" s="49" t="s">
        <v>170</v>
      </c>
      <c r="J2" s="49" t="s">
        <v>171</v>
      </c>
      <c r="K2" s="49" t="s">
        <v>172</v>
      </c>
      <c r="L2" s="49" t="s">
        <v>173</v>
      </c>
      <c r="M2" s="49" t="s">
        <v>174</v>
      </c>
      <c r="N2" s="49" t="s">
        <v>175</v>
      </c>
      <c r="O2" s="49" t="s">
        <v>176</v>
      </c>
      <c r="P2" s="49" t="s">
        <v>177</v>
      </c>
    </row>
    <row r="3" customFormat="false" ht="19.5" hidden="false" customHeight="true" outlineLevel="0" collapsed="false">
      <c r="A3" s="31" t="s">
        <v>42</v>
      </c>
      <c r="B3" s="18" t="s">
        <v>43</v>
      </c>
      <c r="C3" s="18" t="s">
        <v>45</v>
      </c>
      <c r="D3" s="18" t="s">
        <v>178</v>
      </c>
      <c r="E3" s="32" t="s">
        <v>156</v>
      </c>
      <c r="F3" s="32" t="s">
        <v>156</v>
      </c>
      <c r="G3" s="32" t="s">
        <v>156</v>
      </c>
      <c r="H3" s="32" t="s">
        <v>156</v>
      </c>
      <c r="I3" s="32" t="s">
        <v>156</v>
      </c>
      <c r="J3" s="32" t="s">
        <v>156</v>
      </c>
      <c r="K3" s="35" t="n">
        <v>5</v>
      </c>
      <c r="L3" s="32" t="s">
        <v>179</v>
      </c>
      <c r="M3" s="37" t="s">
        <v>180</v>
      </c>
      <c r="N3" s="37" t="s">
        <v>181</v>
      </c>
      <c r="O3" s="37" t="s">
        <v>163</v>
      </c>
      <c r="P3" s="17" t="s">
        <v>182</v>
      </c>
    </row>
    <row r="4" customFormat="false" ht="19.5" hidden="false" customHeight="true" outlineLevel="0" collapsed="false">
      <c r="A4" s="39" t="s">
        <v>49</v>
      </c>
      <c r="B4" s="40" t="s">
        <v>50</v>
      </c>
      <c r="C4" s="40" t="s">
        <v>45</v>
      </c>
      <c r="D4" s="40" t="s">
        <v>183</v>
      </c>
      <c r="E4" s="34" t="s">
        <v>158</v>
      </c>
      <c r="F4" s="34" t="s">
        <v>158</v>
      </c>
      <c r="G4" s="34" t="s">
        <v>158</v>
      </c>
      <c r="H4" s="34" t="s">
        <v>158</v>
      </c>
      <c r="I4" s="34" t="s">
        <v>158</v>
      </c>
      <c r="J4" s="34" t="s">
        <v>158</v>
      </c>
      <c r="K4" s="42" t="n">
        <v>3</v>
      </c>
      <c r="L4" s="34" t="s">
        <v>184</v>
      </c>
      <c r="M4" s="44" t="s">
        <v>185</v>
      </c>
      <c r="N4" s="44" t="s">
        <v>186</v>
      </c>
      <c r="O4" s="44" t="s">
        <v>187</v>
      </c>
      <c r="P4" s="50" t="s">
        <v>188</v>
      </c>
    </row>
    <row r="5" customFormat="false" ht="19.5" hidden="false" customHeight="true" outlineLevel="0" collapsed="false">
      <c r="A5" s="31" t="s">
        <v>55</v>
      </c>
      <c r="B5" s="18" t="s">
        <v>56</v>
      </c>
      <c r="C5" s="18" t="s">
        <v>45</v>
      </c>
      <c r="D5" s="18" t="s">
        <v>183</v>
      </c>
      <c r="E5" s="33" t="s">
        <v>157</v>
      </c>
      <c r="F5" s="33" t="s">
        <v>157</v>
      </c>
      <c r="G5" s="33" t="s">
        <v>157</v>
      </c>
      <c r="H5" s="33" t="s">
        <v>157</v>
      </c>
      <c r="I5" s="33" t="s">
        <v>157</v>
      </c>
      <c r="J5" s="33" t="s">
        <v>157</v>
      </c>
      <c r="K5" s="35" t="n">
        <v>4</v>
      </c>
      <c r="L5" s="33" t="s">
        <v>189</v>
      </c>
      <c r="M5" s="51" t="s">
        <v>190</v>
      </c>
      <c r="N5" s="37" t="s">
        <v>181</v>
      </c>
      <c r="O5" s="44" t="s">
        <v>187</v>
      </c>
      <c r="P5" s="17" t="s">
        <v>188</v>
      </c>
    </row>
    <row r="6" customFormat="false" ht="19.5" hidden="false" customHeight="true" outlineLevel="0" collapsed="false">
      <c r="A6" s="39" t="s">
        <v>61</v>
      </c>
      <c r="B6" s="40" t="s">
        <v>62</v>
      </c>
      <c r="C6" s="40" t="s">
        <v>45</v>
      </c>
      <c r="D6" s="40" t="s">
        <v>191</v>
      </c>
      <c r="E6" s="46" t="s">
        <v>162</v>
      </c>
      <c r="F6" s="41" t="s">
        <v>160</v>
      </c>
      <c r="G6" s="41" t="s">
        <v>160</v>
      </c>
      <c r="H6" s="41" t="s">
        <v>160</v>
      </c>
      <c r="I6" s="41" t="s">
        <v>160</v>
      </c>
      <c r="J6" s="41" t="s">
        <v>160</v>
      </c>
      <c r="K6" s="42" t="n">
        <v>1.8</v>
      </c>
      <c r="L6" s="41" t="s">
        <v>192</v>
      </c>
      <c r="M6" s="52" t="s">
        <v>193</v>
      </c>
      <c r="N6" s="52" t="s">
        <v>194</v>
      </c>
      <c r="O6" s="47" t="s">
        <v>159</v>
      </c>
      <c r="P6" s="50" t="s">
        <v>188</v>
      </c>
    </row>
    <row r="7" customFormat="false" ht="19.5" hidden="false" customHeight="true" outlineLevel="0" collapsed="false">
      <c r="A7" s="31" t="s">
        <v>67</v>
      </c>
      <c r="B7" s="18" t="s">
        <v>68</v>
      </c>
      <c r="C7" s="18" t="s">
        <v>70</v>
      </c>
      <c r="D7" s="18" t="s">
        <v>195</v>
      </c>
      <c r="E7" s="33" t="s">
        <v>157</v>
      </c>
      <c r="F7" s="33" t="s">
        <v>157</v>
      </c>
      <c r="G7" s="33" t="s">
        <v>157</v>
      </c>
      <c r="H7" s="33" t="s">
        <v>157</v>
      </c>
      <c r="I7" s="33" t="s">
        <v>157</v>
      </c>
      <c r="J7" s="34" t="s">
        <v>158</v>
      </c>
      <c r="K7" s="35" t="n">
        <v>3.8</v>
      </c>
      <c r="L7" s="33" t="s">
        <v>189</v>
      </c>
      <c r="M7" s="37" t="s">
        <v>180</v>
      </c>
      <c r="N7" s="37" t="s">
        <v>181</v>
      </c>
      <c r="O7" s="37" t="s">
        <v>163</v>
      </c>
      <c r="P7" s="17" t="s">
        <v>182</v>
      </c>
    </row>
    <row r="8" customFormat="false" ht="19.5" hidden="false" customHeight="true" outlineLevel="0" collapsed="false">
      <c r="A8" s="39" t="s">
        <v>74</v>
      </c>
      <c r="B8" s="40" t="s">
        <v>75</v>
      </c>
      <c r="C8" s="40" t="s">
        <v>76</v>
      </c>
      <c r="D8" s="40" t="s">
        <v>77</v>
      </c>
      <c r="E8" s="32" t="s">
        <v>156</v>
      </c>
      <c r="F8" s="32" t="s">
        <v>156</v>
      </c>
      <c r="G8" s="32" t="s">
        <v>156</v>
      </c>
      <c r="H8" s="32" t="s">
        <v>156</v>
      </c>
      <c r="I8" s="32" t="s">
        <v>156</v>
      </c>
      <c r="J8" s="32" t="s">
        <v>156</v>
      </c>
      <c r="K8" s="42" t="n">
        <v>5</v>
      </c>
      <c r="L8" s="32" t="s">
        <v>179</v>
      </c>
      <c r="M8" s="37" t="s">
        <v>180</v>
      </c>
      <c r="N8" s="37" t="s">
        <v>181</v>
      </c>
      <c r="O8" s="37" t="s">
        <v>163</v>
      </c>
      <c r="P8" s="50" t="s">
        <v>182</v>
      </c>
    </row>
    <row r="9" customFormat="false" ht="19.5" hidden="false" customHeight="true" outlineLevel="0" collapsed="false">
      <c r="A9" s="31" t="s">
        <v>80</v>
      </c>
      <c r="B9" s="18" t="s">
        <v>81</v>
      </c>
      <c r="C9" s="18" t="s">
        <v>76</v>
      </c>
      <c r="D9" s="18" t="s">
        <v>196</v>
      </c>
      <c r="E9" s="41" t="s">
        <v>160</v>
      </c>
      <c r="F9" s="34" t="s">
        <v>158</v>
      </c>
      <c r="G9" s="41" t="s">
        <v>160</v>
      </c>
      <c r="H9" s="41" t="s">
        <v>160</v>
      </c>
      <c r="I9" s="34" t="s">
        <v>158</v>
      </c>
      <c r="J9" s="41" t="s">
        <v>160</v>
      </c>
      <c r="K9" s="35" t="n">
        <v>2.3</v>
      </c>
      <c r="L9" s="41" t="s">
        <v>192</v>
      </c>
      <c r="M9" s="44" t="s">
        <v>185</v>
      </c>
      <c r="N9" s="53" t="s">
        <v>197</v>
      </c>
      <c r="O9" s="44" t="s">
        <v>187</v>
      </c>
      <c r="P9" s="17" t="s">
        <v>198</v>
      </c>
    </row>
    <row r="10" customFormat="false" ht="19.5" hidden="false" customHeight="true" outlineLevel="0" collapsed="false">
      <c r="A10" s="39" t="s">
        <v>85</v>
      </c>
      <c r="B10" s="40" t="s">
        <v>86</v>
      </c>
      <c r="C10" s="40" t="s">
        <v>76</v>
      </c>
      <c r="D10" s="40" t="s">
        <v>199</v>
      </c>
      <c r="E10" s="41" t="s">
        <v>160</v>
      </c>
      <c r="F10" s="41" t="s">
        <v>160</v>
      </c>
      <c r="G10" s="41" t="s">
        <v>160</v>
      </c>
      <c r="H10" s="41" t="s">
        <v>160</v>
      </c>
      <c r="I10" s="41" t="s">
        <v>160</v>
      </c>
      <c r="J10" s="41" t="s">
        <v>160</v>
      </c>
      <c r="K10" s="42" t="n">
        <v>2</v>
      </c>
      <c r="L10" s="41" t="s">
        <v>192</v>
      </c>
      <c r="M10" s="44" t="s">
        <v>185</v>
      </c>
      <c r="N10" s="53" t="s">
        <v>197</v>
      </c>
      <c r="O10" s="47" t="s">
        <v>159</v>
      </c>
      <c r="P10" s="50" t="s">
        <v>198</v>
      </c>
    </row>
    <row r="11" customFormat="false" ht="19.5" hidden="false" customHeight="true" outlineLevel="0" collapsed="false">
      <c r="A11" s="31" t="s">
        <v>91</v>
      </c>
      <c r="B11" s="18" t="s">
        <v>92</v>
      </c>
      <c r="C11" s="18" t="s">
        <v>70</v>
      </c>
      <c r="D11" s="18" t="s">
        <v>200</v>
      </c>
      <c r="E11" s="32" t="s">
        <v>156</v>
      </c>
      <c r="F11" s="32" t="s">
        <v>156</v>
      </c>
      <c r="G11" s="32" t="s">
        <v>156</v>
      </c>
      <c r="H11" s="32" t="s">
        <v>156</v>
      </c>
      <c r="I11" s="32" t="s">
        <v>156</v>
      </c>
      <c r="J11" s="32" t="s">
        <v>156</v>
      </c>
      <c r="K11" s="35" t="n">
        <v>5</v>
      </c>
      <c r="L11" s="32" t="s">
        <v>179</v>
      </c>
      <c r="M11" s="37" t="s">
        <v>180</v>
      </c>
      <c r="N11" s="37" t="s">
        <v>181</v>
      </c>
      <c r="O11" s="37" t="s">
        <v>163</v>
      </c>
      <c r="P11" s="17" t="s">
        <v>182</v>
      </c>
    </row>
    <row r="12" customFormat="false" ht="19.5" hidden="false" customHeight="true" outlineLevel="0" collapsed="false">
      <c r="A12" s="39" t="s">
        <v>95</v>
      </c>
      <c r="B12" s="40" t="s">
        <v>96</v>
      </c>
      <c r="C12" s="40" t="s">
        <v>70</v>
      </c>
      <c r="D12" s="40" t="s">
        <v>195</v>
      </c>
      <c r="E12" s="33" t="s">
        <v>157</v>
      </c>
      <c r="F12" s="33" t="s">
        <v>157</v>
      </c>
      <c r="G12" s="33" t="s">
        <v>157</v>
      </c>
      <c r="H12" s="33" t="s">
        <v>157</v>
      </c>
      <c r="I12" s="32" t="s">
        <v>156</v>
      </c>
      <c r="J12" s="33" t="s">
        <v>157</v>
      </c>
      <c r="K12" s="42" t="n">
        <v>4.2</v>
      </c>
      <c r="L12" s="33" t="s">
        <v>189</v>
      </c>
      <c r="M12" s="37" t="s">
        <v>180</v>
      </c>
      <c r="N12" s="37" t="s">
        <v>181</v>
      </c>
      <c r="O12" s="37" t="s">
        <v>163</v>
      </c>
      <c r="P12" s="50" t="s">
        <v>182</v>
      </c>
    </row>
    <row r="13" customFormat="false" ht="19.5" hidden="false" customHeight="true" outlineLevel="0" collapsed="false">
      <c r="A13" s="31" t="s">
        <v>101</v>
      </c>
      <c r="B13" s="18" t="s">
        <v>102</v>
      </c>
      <c r="C13" s="18" t="s">
        <v>45</v>
      </c>
      <c r="D13" s="18" t="s">
        <v>183</v>
      </c>
      <c r="E13" s="34" t="s">
        <v>158</v>
      </c>
      <c r="F13" s="34" t="s">
        <v>158</v>
      </c>
      <c r="G13" s="34" t="s">
        <v>158</v>
      </c>
      <c r="H13" s="34" t="s">
        <v>158</v>
      </c>
      <c r="I13" s="33" t="s">
        <v>157</v>
      </c>
      <c r="J13" s="34" t="s">
        <v>158</v>
      </c>
      <c r="K13" s="35" t="n">
        <v>3.2</v>
      </c>
      <c r="L13" s="34" t="s">
        <v>184</v>
      </c>
      <c r="M13" s="51" t="s">
        <v>190</v>
      </c>
      <c r="N13" s="54" t="s">
        <v>201</v>
      </c>
      <c r="O13" s="44" t="s">
        <v>187</v>
      </c>
      <c r="P13" s="17" t="s">
        <v>188</v>
      </c>
    </row>
    <row r="14" customFormat="false" ht="19.5" hidden="false" customHeight="true" outlineLevel="0" collapsed="false">
      <c r="A14" s="39" t="s">
        <v>105</v>
      </c>
      <c r="B14" s="40" t="s">
        <v>106</v>
      </c>
      <c r="C14" s="40" t="s">
        <v>76</v>
      </c>
      <c r="D14" s="40" t="s">
        <v>202</v>
      </c>
      <c r="E14" s="34" t="s">
        <v>158</v>
      </c>
      <c r="F14" s="33" t="s">
        <v>157</v>
      </c>
      <c r="G14" s="33" t="s">
        <v>157</v>
      </c>
      <c r="H14" s="34" t="s">
        <v>158</v>
      </c>
      <c r="I14" s="33" t="s">
        <v>157</v>
      </c>
      <c r="J14" s="34" t="s">
        <v>158</v>
      </c>
      <c r="K14" s="42" t="n">
        <v>3.5</v>
      </c>
      <c r="L14" s="33" t="s">
        <v>189</v>
      </c>
      <c r="M14" s="37" t="s">
        <v>180</v>
      </c>
      <c r="N14" s="54" t="s">
        <v>201</v>
      </c>
      <c r="O14" s="37" t="s">
        <v>163</v>
      </c>
      <c r="P14" s="50" t="s">
        <v>182</v>
      </c>
    </row>
    <row r="15" customFormat="false" ht="19.5" hidden="false" customHeight="true" outlineLevel="0" collapsed="false">
      <c r="A15" s="31" t="s">
        <v>109</v>
      </c>
      <c r="B15" s="18" t="s">
        <v>110</v>
      </c>
      <c r="C15" s="18" t="s">
        <v>76</v>
      </c>
      <c r="D15" s="18" t="s">
        <v>199</v>
      </c>
      <c r="E15" s="41" t="s">
        <v>160</v>
      </c>
      <c r="F15" s="41" t="s">
        <v>160</v>
      </c>
      <c r="G15" s="41" t="s">
        <v>160</v>
      </c>
      <c r="H15" s="41" t="s">
        <v>160</v>
      </c>
      <c r="I15" s="41" t="s">
        <v>160</v>
      </c>
      <c r="J15" s="46" t="s">
        <v>162</v>
      </c>
      <c r="K15" s="35" t="n">
        <v>1.8</v>
      </c>
      <c r="L15" s="41" t="s">
        <v>192</v>
      </c>
      <c r="M15" s="44" t="s">
        <v>185</v>
      </c>
      <c r="N15" s="47" t="s">
        <v>203</v>
      </c>
      <c r="O15" s="47" t="s">
        <v>159</v>
      </c>
      <c r="P15" s="17" t="s">
        <v>198</v>
      </c>
    </row>
    <row r="16" customFormat="false" ht="19.5" hidden="false" customHeight="true" outlineLevel="0" collapsed="false">
      <c r="A16" s="39" t="s">
        <v>113</v>
      </c>
      <c r="B16" s="40" t="s">
        <v>114</v>
      </c>
      <c r="C16" s="40" t="s">
        <v>45</v>
      </c>
      <c r="D16" s="40" t="s">
        <v>178</v>
      </c>
      <c r="E16" s="32" t="s">
        <v>156</v>
      </c>
      <c r="F16" s="32" t="s">
        <v>156</v>
      </c>
      <c r="G16" s="32" t="s">
        <v>156</v>
      </c>
      <c r="H16" s="32" t="s">
        <v>156</v>
      </c>
      <c r="I16" s="32" t="s">
        <v>156</v>
      </c>
      <c r="J16" s="32" t="s">
        <v>156</v>
      </c>
      <c r="K16" s="42" t="n">
        <v>5</v>
      </c>
      <c r="L16" s="32" t="s">
        <v>179</v>
      </c>
      <c r="M16" s="37" t="s">
        <v>180</v>
      </c>
      <c r="N16" s="37" t="s">
        <v>181</v>
      </c>
      <c r="O16" s="37" t="s">
        <v>163</v>
      </c>
      <c r="P16" s="50" t="s">
        <v>182</v>
      </c>
    </row>
    <row r="17" customFormat="false" ht="19.5" hidden="false" customHeight="true" outlineLevel="0" collapsed="false">
      <c r="A17" s="31" t="s">
        <v>119</v>
      </c>
      <c r="B17" s="18" t="s">
        <v>120</v>
      </c>
      <c r="C17" s="18" t="s">
        <v>76</v>
      </c>
      <c r="D17" s="18" t="s">
        <v>196</v>
      </c>
      <c r="E17" s="41" t="s">
        <v>160</v>
      </c>
      <c r="F17" s="41" t="s">
        <v>160</v>
      </c>
      <c r="G17" s="41" t="s">
        <v>160</v>
      </c>
      <c r="H17" s="41" t="s">
        <v>160</v>
      </c>
      <c r="I17" s="34" t="s">
        <v>158</v>
      </c>
      <c r="J17" s="41" t="s">
        <v>160</v>
      </c>
      <c r="K17" s="35" t="n">
        <v>2.2</v>
      </c>
      <c r="L17" s="41" t="s">
        <v>192</v>
      </c>
      <c r="M17" s="44" t="s">
        <v>185</v>
      </c>
      <c r="N17" s="53" t="s">
        <v>197</v>
      </c>
      <c r="O17" s="47" t="s">
        <v>159</v>
      </c>
      <c r="P17" s="17" t="s">
        <v>188</v>
      </c>
    </row>
    <row r="18" customFormat="false" ht="19.5" hidden="false" customHeight="true" outlineLevel="0" collapsed="false">
      <c r="A18" s="39" t="s">
        <v>123</v>
      </c>
      <c r="B18" s="40" t="s">
        <v>124</v>
      </c>
      <c r="C18" s="40" t="s">
        <v>70</v>
      </c>
      <c r="D18" s="40" t="s">
        <v>195</v>
      </c>
      <c r="E18" s="32" t="s">
        <v>156</v>
      </c>
      <c r="F18" s="33" t="s">
        <v>157</v>
      </c>
      <c r="G18" s="33" t="s">
        <v>157</v>
      </c>
      <c r="H18" s="32" t="s">
        <v>156</v>
      </c>
      <c r="I18" s="32" t="s">
        <v>156</v>
      </c>
      <c r="J18" s="33" t="s">
        <v>157</v>
      </c>
      <c r="K18" s="42" t="n">
        <v>4.5</v>
      </c>
      <c r="L18" s="32" t="s">
        <v>179</v>
      </c>
      <c r="M18" s="37" t="s">
        <v>180</v>
      </c>
      <c r="N18" s="37" t="s">
        <v>181</v>
      </c>
      <c r="O18" s="37" t="s">
        <v>163</v>
      </c>
      <c r="P18" s="50" t="s">
        <v>182</v>
      </c>
    </row>
    <row r="19" customFormat="false" ht="19.5" hidden="false" customHeight="true" outlineLevel="0" collapsed="false">
      <c r="A19" s="31" t="s">
        <v>127</v>
      </c>
      <c r="B19" s="18" t="s">
        <v>128</v>
      </c>
      <c r="C19" s="18" t="s">
        <v>76</v>
      </c>
      <c r="D19" s="18" t="s">
        <v>204</v>
      </c>
      <c r="E19" s="34" t="s">
        <v>158</v>
      </c>
      <c r="F19" s="34" t="s">
        <v>158</v>
      </c>
      <c r="G19" s="33" t="s">
        <v>157</v>
      </c>
      <c r="H19" s="34" t="s">
        <v>158</v>
      </c>
      <c r="I19" s="34" t="s">
        <v>158</v>
      </c>
      <c r="J19" s="34" t="s">
        <v>158</v>
      </c>
      <c r="K19" s="35" t="n">
        <v>3.2</v>
      </c>
      <c r="L19" s="34" t="s">
        <v>184</v>
      </c>
      <c r="M19" s="37" t="s">
        <v>180</v>
      </c>
      <c r="N19" s="54" t="s">
        <v>201</v>
      </c>
      <c r="O19" s="37" t="s">
        <v>163</v>
      </c>
      <c r="P19" s="17" t="s">
        <v>182</v>
      </c>
    </row>
    <row r="20" customFormat="false" ht="19.5" hidden="false" customHeight="true" outlineLevel="0" collapsed="false">
      <c r="A20" s="39" t="s">
        <v>131</v>
      </c>
      <c r="B20" s="40" t="s">
        <v>132</v>
      </c>
      <c r="C20" s="40" t="s">
        <v>45</v>
      </c>
      <c r="D20" s="40" t="s">
        <v>191</v>
      </c>
      <c r="E20" s="46" t="s">
        <v>162</v>
      </c>
      <c r="F20" s="41" t="s">
        <v>160</v>
      </c>
      <c r="G20" s="46" t="s">
        <v>162</v>
      </c>
      <c r="H20" s="41" t="s">
        <v>160</v>
      </c>
      <c r="I20" s="34" t="s">
        <v>158</v>
      </c>
      <c r="J20" s="41" t="s">
        <v>160</v>
      </c>
      <c r="K20" s="42" t="n">
        <v>1.8</v>
      </c>
      <c r="L20" s="41" t="s">
        <v>192</v>
      </c>
      <c r="M20" s="52" t="s">
        <v>193</v>
      </c>
      <c r="N20" s="52" t="s">
        <v>194</v>
      </c>
      <c r="O20" s="47" t="s">
        <v>159</v>
      </c>
      <c r="P20" s="50" t="s">
        <v>198</v>
      </c>
    </row>
    <row r="21" customFormat="false" ht="19.5" hidden="false" customHeight="true" outlineLevel="0" collapsed="false">
      <c r="A21" s="31" t="s">
        <v>135</v>
      </c>
      <c r="B21" s="18" t="s">
        <v>136</v>
      </c>
      <c r="C21" s="18" t="s">
        <v>70</v>
      </c>
      <c r="D21" s="18" t="s">
        <v>195</v>
      </c>
      <c r="E21" s="32" t="s">
        <v>156</v>
      </c>
      <c r="F21" s="32" t="s">
        <v>156</v>
      </c>
      <c r="G21" s="32" t="s">
        <v>156</v>
      </c>
      <c r="H21" s="32" t="s">
        <v>156</v>
      </c>
      <c r="I21" s="32" t="s">
        <v>156</v>
      </c>
      <c r="J21" s="32" t="s">
        <v>156</v>
      </c>
      <c r="K21" s="35" t="n">
        <v>5</v>
      </c>
      <c r="L21" s="32" t="s">
        <v>179</v>
      </c>
      <c r="M21" s="37" t="s">
        <v>180</v>
      </c>
      <c r="N21" s="37" t="s">
        <v>181</v>
      </c>
      <c r="O21" s="37" t="s">
        <v>163</v>
      </c>
      <c r="P21" s="17" t="s">
        <v>182</v>
      </c>
    </row>
    <row r="22" customFormat="false" ht="19.5" hidden="false" customHeight="true" outlineLevel="0" collapsed="false">
      <c r="A22" s="39" t="s">
        <v>138</v>
      </c>
      <c r="B22" s="40" t="s">
        <v>139</v>
      </c>
      <c r="C22" s="40" t="s">
        <v>45</v>
      </c>
      <c r="D22" s="40" t="s">
        <v>191</v>
      </c>
      <c r="E22" s="46" t="s">
        <v>162</v>
      </c>
      <c r="F22" s="41" t="s">
        <v>160</v>
      </c>
      <c r="G22" s="41" t="s">
        <v>160</v>
      </c>
      <c r="H22" s="41" t="s">
        <v>160</v>
      </c>
      <c r="I22" s="34" t="s">
        <v>158</v>
      </c>
      <c r="J22" s="41" t="s">
        <v>160</v>
      </c>
      <c r="K22" s="42" t="n">
        <v>2</v>
      </c>
      <c r="L22" s="41" t="s">
        <v>192</v>
      </c>
      <c r="M22" s="52" t="s">
        <v>193</v>
      </c>
      <c r="N22" s="52" t="s">
        <v>194</v>
      </c>
      <c r="O22" s="47" t="s">
        <v>159</v>
      </c>
      <c r="P22" s="50" t="s">
        <v>198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10" min="4" style="0" width="10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55" t="s">
        <v>205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customFormat="false" ht="42" hidden="false" customHeight="true" outlineLevel="0" collapsed="false">
      <c r="A2" s="10" t="s">
        <v>24</v>
      </c>
      <c r="B2" s="10" t="s">
        <v>25</v>
      </c>
      <c r="C2" s="10" t="s">
        <v>27</v>
      </c>
      <c r="D2" s="10" t="s">
        <v>206</v>
      </c>
      <c r="E2" s="10" t="s">
        <v>207</v>
      </c>
      <c r="F2" s="10" t="s">
        <v>208</v>
      </c>
      <c r="G2" s="10" t="s">
        <v>209</v>
      </c>
      <c r="H2" s="10" t="s">
        <v>210</v>
      </c>
      <c r="I2" s="10" t="s">
        <v>211</v>
      </c>
      <c r="J2" s="10" t="s">
        <v>212</v>
      </c>
      <c r="K2" s="10" t="s">
        <v>213</v>
      </c>
      <c r="L2" s="10" t="s">
        <v>214</v>
      </c>
      <c r="M2" s="10" t="s">
        <v>215</v>
      </c>
      <c r="N2" s="10" t="s">
        <v>216</v>
      </c>
    </row>
    <row r="3" customFormat="false" ht="21.75" hidden="false" customHeight="true" outlineLevel="0" collapsed="false">
      <c r="A3" s="31" t="s">
        <v>42</v>
      </c>
      <c r="B3" s="18" t="s">
        <v>43</v>
      </c>
      <c r="C3" s="18" t="s">
        <v>45</v>
      </c>
      <c r="D3" s="32" t="s">
        <v>156</v>
      </c>
      <c r="E3" s="32" t="s">
        <v>156</v>
      </c>
      <c r="F3" s="32" t="s">
        <v>156</v>
      </c>
      <c r="G3" s="33" t="s">
        <v>157</v>
      </c>
      <c r="H3" s="32" t="s">
        <v>156</v>
      </c>
      <c r="I3" s="32" t="s">
        <v>156</v>
      </c>
      <c r="J3" s="35" t="n">
        <v>4.8</v>
      </c>
      <c r="K3" s="37" t="s">
        <v>159</v>
      </c>
      <c r="L3" s="56" t="s">
        <v>217</v>
      </c>
      <c r="M3" s="37" t="s">
        <v>218</v>
      </c>
      <c r="N3" s="37" t="s">
        <v>219</v>
      </c>
    </row>
    <row r="4" customFormat="false" ht="21.75" hidden="false" customHeight="true" outlineLevel="0" collapsed="false">
      <c r="A4" s="39" t="s">
        <v>49</v>
      </c>
      <c r="B4" s="40" t="s">
        <v>50</v>
      </c>
      <c r="C4" s="40" t="s">
        <v>45</v>
      </c>
      <c r="D4" s="34" t="s">
        <v>158</v>
      </c>
      <c r="E4" s="34" t="s">
        <v>158</v>
      </c>
      <c r="F4" s="34" t="s">
        <v>158</v>
      </c>
      <c r="G4" s="34" t="s">
        <v>158</v>
      </c>
      <c r="H4" s="34" t="s">
        <v>158</v>
      </c>
      <c r="I4" s="34" t="s">
        <v>158</v>
      </c>
      <c r="J4" s="42" t="n">
        <v>3</v>
      </c>
      <c r="K4" s="44" t="s">
        <v>161</v>
      </c>
      <c r="L4" s="57" t="s">
        <v>220</v>
      </c>
      <c r="M4" s="44" t="s">
        <v>221</v>
      </c>
      <c r="N4" s="44" t="s">
        <v>222</v>
      </c>
    </row>
    <row r="5" customFormat="false" ht="21.75" hidden="false" customHeight="true" outlineLevel="0" collapsed="false">
      <c r="A5" s="31" t="s">
        <v>55</v>
      </c>
      <c r="B5" s="18" t="s">
        <v>56</v>
      </c>
      <c r="C5" s="18" t="s">
        <v>45</v>
      </c>
      <c r="D5" s="33" t="s">
        <v>157</v>
      </c>
      <c r="E5" s="34" t="s">
        <v>158</v>
      </c>
      <c r="F5" s="33" t="s">
        <v>157</v>
      </c>
      <c r="G5" s="34" t="s">
        <v>158</v>
      </c>
      <c r="H5" s="33" t="s">
        <v>157</v>
      </c>
      <c r="I5" s="33" t="s">
        <v>157</v>
      </c>
      <c r="J5" s="35" t="n">
        <v>3.7</v>
      </c>
      <c r="K5" s="44" t="s">
        <v>161</v>
      </c>
      <c r="L5" s="58" t="s">
        <v>223</v>
      </c>
      <c r="M5" s="44" t="s">
        <v>221</v>
      </c>
      <c r="N5" s="44" t="s">
        <v>222</v>
      </c>
    </row>
    <row r="6" customFormat="false" ht="21.75" hidden="false" customHeight="true" outlineLevel="0" collapsed="false">
      <c r="A6" s="39" t="s">
        <v>61</v>
      </c>
      <c r="B6" s="40" t="s">
        <v>62</v>
      </c>
      <c r="C6" s="40" t="s">
        <v>45</v>
      </c>
      <c r="D6" s="41" t="s">
        <v>160</v>
      </c>
      <c r="E6" s="41" t="s">
        <v>160</v>
      </c>
      <c r="F6" s="41" t="s">
        <v>160</v>
      </c>
      <c r="G6" s="41" t="s">
        <v>160</v>
      </c>
      <c r="H6" s="41" t="s">
        <v>160</v>
      </c>
      <c r="I6" s="41" t="s">
        <v>160</v>
      </c>
      <c r="J6" s="42" t="n">
        <v>2</v>
      </c>
      <c r="K6" s="47" t="s">
        <v>163</v>
      </c>
      <c r="L6" s="59" t="s">
        <v>224</v>
      </c>
      <c r="M6" s="47" t="s">
        <v>225</v>
      </c>
      <c r="N6" s="47" t="s">
        <v>226</v>
      </c>
    </row>
    <row r="7" customFormat="false" ht="21.75" hidden="false" customHeight="true" outlineLevel="0" collapsed="false">
      <c r="A7" s="31" t="s">
        <v>67</v>
      </c>
      <c r="B7" s="18" t="s">
        <v>68</v>
      </c>
      <c r="C7" s="18" t="s">
        <v>70</v>
      </c>
      <c r="D7" s="33" t="s">
        <v>157</v>
      </c>
      <c r="E7" s="33" t="s">
        <v>157</v>
      </c>
      <c r="F7" s="33" t="s">
        <v>157</v>
      </c>
      <c r="G7" s="33" t="s">
        <v>157</v>
      </c>
      <c r="H7" s="34" t="s">
        <v>158</v>
      </c>
      <c r="I7" s="33" t="s">
        <v>157</v>
      </c>
      <c r="J7" s="35" t="n">
        <v>3.8</v>
      </c>
      <c r="K7" s="37" t="s">
        <v>159</v>
      </c>
      <c r="L7" s="60" t="s">
        <v>227</v>
      </c>
      <c r="M7" s="37" t="s">
        <v>218</v>
      </c>
      <c r="N7" s="37" t="s">
        <v>219</v>
      </c>
    </row>
    <row r="8" customFormat="false" ht="21.75" hidden="false" customHeight="true" outlineLevel="0" collapsed="false">
      <c r="A8" s="39" t="s">
        <v>74</v>
      </c>
      <c r="B8" s="40" t="s">
        <v>75</v>
      </c>
      <c r="C8" s="40" t="s">
        <v>76</v>
      </c>
      <c r="D8" s="32" t="s">
        <v>156</v>
      </c>
      <c r="E8" s="32" t="s">
        <v>156</v>
      </c>
      <c r="F8" s="32" t="s">
        <v>156</v>
      </c>
      <c r="G8" s="32" t="s">
        <v>156</v>
      </c>
      <c r="H8" s="32" t="s">
        <v>156</v>
      </c>
      <c r="I8" s="32" t="s">
        <v>156</v>
      </c>
      <c r="J8" s="42" t="n">
        <v>5</v>
      </c>
      <c r="K8" s="37" t="s">
        <v>159</v>
      </c>
      <c r="L8" s="61" t="s">
        <v>228</v>
      </c>
      <c r="M8" s="37" t="s">
        <v>218</v>
      </c>
      <c r="N8" s="37" t="s">
        <v>219</v>
      </c>
    </row>
    <row r="9" customFormat="false" ht="21.75" hidden="false" customHeight="true" outlineLevel="0" collapsed="false">
      <c r="A9" s="31" t="s">
        <v>80</v>
      </c>
      <c r="B9" s="18" t="s">
        <v>81</v>
      </c>
      <c r="C9" s="18" t="s">
        <v>76</v>
      </c>
      <c r="D9" s="34" t="s">
        <v>158</v>
      </c>
      <c r="E9" s="41" t="s">
        <v>160</v>
      </c>
      <c r="F9" s="34" t="s">
        <v>158</v>
      </c>
      <c r="G9" s="34" t="s">
        <v>158</v>
      </c>
      <c r="H9" s="34" t="s">
        <v>158</v>
      </c>
      <c r="I9" s="41" t="s">
        <v>160</v>
      </c>
      <c r="J9" s="35" t="n">
        <v>2.7</v>
      </c>
      <c r="K9" s="47" t="s">
        <v>163</v>
      </c>
      <c r="L9" s="62" t="s">
        <v>229</v>
      </c>
      <c r="M9" s="47" t="s">
        <v>225</v>
      </c>
      <c r="N9" s="47" t="s">
        <v>226</v>
      </c>
    </row>
    <row r="10" customFormat="false" ht="21.75" hidden="false" customHeight="true" outlineLevel="0" collapsed="false">
      <c r="A10" s="39" t="s">
        <v>85</v>
      </c>
      <c r="B10" s="40" t="s">
        <v>86</v>
      </c>
      <c r="C10" s="40" t="s">
        <v>76</v>
      </c>
      <c r="D10" s="41" t="s">
        <v>160</v>
      </c>
      <c r="E10" s="41" t="s">
        <v>160</v>
      </c>
      <c r="F10" s="41" t="s">
        <v>160</v>
      </c>
      <c r="G10" s="41" t="s">
        <v>160</v>
      </c>
      <c r="H10" s="41" t="s">
        <v>160</v>
      </c>
      <c r="I10" s="41" t="s">
        <v>160</v>
      </c>
      <c r="J10" s="42" t="n">
        <v>2</v>
      </c>
      <c r="K10" s="47" t="s">
        <v>163</v>
      </c>
      <c r="L10" s="59" t="s">
        <v>230</v>
      </c>
      <c r="M10" s="47" t="s">
        <v>225</v>
      </c>
      <c r="N10" s="47" t="s">
        <v>226</v>
      </c>
    </row>
    <row r="11" customFormat="false" ht="21.75" hidden="false" customHeight="true" outlineLevel="0" collapsed="false">
      <c r="A11" s="31" t="s">
        <v>91</v>
      </c>
      <c r="B11" s="18" t="s">
        <v>92</v>
      </c>
      <c r="C11" s="18" t="s">
        <v>70</v>
      </c>
      <c r="D11" s="32" t="s">
        <v>156</v>
      </c>
      <c r="E11" s="32" t="s">
        <v>156</v>
      </c>
      <c r="F11" s="32" t="s">
        <v>156</v>
      </c>
      <c r="G11" s="32" t="s">
        <v>156</v>
      </c>
      <c r="H11" s="32" t="s">
        <v>156</v>
      </c>
      <c r="I11" s="32" t="s">
        <v>156</v>
      </c>
      <c r="J11" s="35" t="n">
        <v>5</v>
      </c>
      <c r="K11" s="37" t="s">
        <v>159</v>
      </c>
      <c r="L11" s="56" t="s">
        <v>217</v>
      </c>
      <c r="M11" s="37" t="s">
        <v>218</v>
      </c>
      <c r="N11" s="37" t="s">
        <v>219</v>
      </c>
    </row>
    <row r="12" customFormat="false" ht="21.75" hidden="false" customHeight="true" outlineLevel="0" collapsed="false">
      <c r="A12" s="39" t="s">
        <v>95</v>
      </c>
      <c r="B12" s="40" t="s">
        <v>96</v>
      </c>
      <c r="C12" s="40" t="s">
        <v>70</v>
      </c>
      <c r="D12" s="33" t="s">
        <v>157</v>
      </c>
      <c r="E12" s="33" t="s">
        <v>157</v>
      </c>
      <c r="F12" s="33" t="s">
        <v>157</v>
      </c>
      <c r="G12" s="33" t="s">
        <v>157</v>
      </c>
      <c r="H12" s="33" t="s">
        <v>157</v>
      </c>
      <c r="I12" s="32" t="s">
        <v>156</v>
      </c>
      <c r="J12" s="42" t="n">
        <v>4.2</v>
      </c>
      <c r="K12" s="37" t="s">
        <v>159</v>
      </c>
      <c r="L12" s="63" t="s">
        <v>231</v>
      </c>
      <c r="M12" s="37" t="s">
        <v>218</v>
      </c>
      <c r="N12" s="37" t="s">
        <v>219</v>
      </c>
    </row>
    <row r="13" customFormat="false" ht="21.75" hidden="false" customHeight="true" outlineLevel="0" collapsed="false">
      <c r="A13" s="31" t="s">
        <v>101</v>
      </c>
      <c r="B13" s="18" t="s">
        <v>102</v>
      </c>
      <c r="C13" s="18" t="s">
        <v>45</v>
      </c>
      <c r="D13" s="34" t="s">
        <v>158</v>
      </c>
      <c r="E13" s="34" t="s">
        <v>158</v>
      </c>
      <c r="F13" s="34" t="s">
        <v>158</v>
      </c>
      <c r="G13" s="34" t="s">
        <v>158</v>
      </c>
      <c r="H13" s="34" t="s">
        <v>158</v>
      </c>
      <c r="I13" s="33" t="s">
        <v>157</v>
      </c>
      <c r="J13" s="35" t="n">
        <v>3.2</v>
      </c>
      <c r="K13" s="44" t="s">
        <v>161</v>
      </c>
      <c r="L13" s="64" t="s">
        <v>232</v>
      </c>
      <c r="M13" s="44" t="s">
        <v>221</v>
      </c>
      <c r="N13" s="44" t="s">
        <v>222</v>
      </c>
    </row>
    <row r="14" customFormat="false" ht="21.75" hidden="false" customHeight="true" outlineLevel="0" collapsed="false">
      <c r="A14" s="39" t="s">
        <v>105</v>
      </c>
      <c r="B14" s="40" t="s">
        <v>106</v>
      </c>
      <c r="C14" s="40" t="s">
        <v>76</v>
      </c>
      <c r="D14" s="33" t="s">
        <v>157</v>
      </c>
      <c r="E14" s="34" t="s">
        <v>158</v>
      </c>
      <c r="F14" s="33" t="s">
        <v>157</v>
      </c>
      <c r="G14" s="34" t="s">
        <v>158</v>
      </c>
      <c r="H14" s="33" t="s">
        <v>157</v>
      </c>
      <c r="I14" s="33" t="s">
        <v>157</v>
      </c>
      <c r="J14" s="42" t="n">
        <v>3.7</v>
      </c>
      <c r="K14" s="44" t="s">
        <v>161</v>
      </c>
      <c r="L14" s="65" t="s">
        <v>233</v>
      </c>
      <c r="M14" s="44" t="s">
        <v>221</v>
      </c>
      <c r="N14" s="44" t="s">
        <v>222</v>
      </c>
    </row>
    <row r="15" customFormat="false" ht="21.75" hidden="false" customHeight="true" outlineLevel="0" collapsed="false">
      <c r="A15" s="31" t="s">
        <v>109</v>
      </c>
      <c r="B15" s="18" t="s">
        <v>110</v>
      </c>
      <c r="C15" s="18" t="s">
        <v>76</v>
      </c>
      <c r="D15" s="41" t="s">
        <v>160</v>
      </c>
      <c r="E15" s="41" t="s">
        <v>160</v>
      </c>
      <c r="F15" s="41" t="s">
        <v>160</v>
      </c>
      <c r="G15" s="41" t="s">
        <v>160</v>
      </c>
      <c r="H15" s="41" t="s">
        <v>160</v>
      </c>
      <c r="I15" s="41" t="s">
        <v>160</v>
      </c>
      <c r="J15" s="35" t="n">
        <v>2</v>
      </c>
      <c r="K15" s="47" t="s">
        <v>163</v>
      </c>
      <c r="L15" s="62" t="s">
        <v>234</v>
      </c>
      <c r="M15" s="47" t="s">
        <v>225</v>
      </c>
      <c r="N15" s="47" t="s">
        <v>226</v>
      </c>
    </row>
    <row r="16" customFormat="false" ht="21.75" hidden="false" customHeight="true" outlineLevel="0" collapsed="false">
      <c r="A16" s="39" t="s">
        <v>113</v>
      </c>
      <c r="B16" s="40" t="s">
        <v>114</v>
      </c>
      <c r="C16" s="40" t="s">
        <v>45</v>
      </c>
      <c r="D16" s="32" t="s">
        <v>156</v>
      </c>
      <c r="E16" s="32" t="s">
        <v>156</v>
      </c>
      <c r="F16" s="33" t="s">
        <v>157</v>
      </c>
      <c r="G16" s="33" t="s">
        <v>157</v>
      </c>
      <c r="H16" s="33" t="s">
        <v>157</v>
      </c>
      <c r="I16" s="32" t="s">
        <v>156</v>
      </c>
      <c r="J16" s="42" t="n">
        <v>4.5</v>
      </c>
      <c r="K16" s="37" t="s">
        <v>159</v>
      </c>
      <c r="L16" s="63" t="s">
        <v>235</v>
      </c>
      <c r="M16" s="37" t="s">
        <v>218</v>
      </c>
      <c r="N16" s="37" t="s">
        <v>219</v>
      </c>
    </row>
    <row r="17" customFormat="false" ht="21.75" hidden="false" customHeight="true" outlineLevel="0" collapsed="false">
      <c r="A17" s="31" t="s">
        <v>119</v>
      </c>
      <c r="B17" s="18" t="s">
        <v>120</v>
      </c>
      <c r="C17" s="18" t="s">
        <v>76</v>
      </c>
      <c r="D17" s="41" t="s">
        <v>160</v>
      </c>
      <c r="E17" s="41" t="s">
        <v>160</v>
      </c>
      <c r="F17" s="34" t="s">
        <v>158</v>
      </c>
      <c r="G17" s="41" t="s">
        <v>160</v>
      </c>
      <c r="H17" s="41" t="s">
        <v>160</v>
      </c>
      <c r="I17" s="41" t="s">
        <v>160</v>
      </c>
      <c r="J17" s="35" t="n">
        <v>2.2</v>
      </c>
      <c r="K17" s="47" t="s">
        <v>163</v>
      </c>
      <c r="L17" s="62" t="s">
        <v>236</v>
      </c>
      <c r="M17" s="47" t="s">
        <v>225</v>
      </c>
      <c r="N17" s="47" t="s">
        <v>226</v>
      </c>
    </row>
    <row r="18" customFormat="false" ht="21.75" hidden="false" customHeight="true" outlineLevel="0" collapsed="false">
      <c r="A18" s="39" t="s">
        <v>123</v>
      </c>
      <c r="B18" s="40" t="s">
        <v>124</v>
      </c>
      <c r="C18" s="40" t="s">
        <v>70</v>
      </c>
      <c r="D18" s="32" t="s">
        <v>156</v>
      </c>
      <c r="E18" s="32" t="s">
        <v>156</v>
      </c>
      <c r="F18" s="33" t="s">
        <v>157</v>
      </c>
      <c r="G18" s="33" t="s">
        <v>157</v>
      </c>
      <c r="H18" s="33" t="s">
        <v>157</v>
      </c>
      <c r="I18" s="32" t="s">
        <v>156</v>
      </c>
      <c r="J18" s="42" t="n">
        <v>4.5</v>
      </c>
      <c r="K18" s="37" t="s">
        <v>159</v>
      </c>
      <c r="L18" s="63" t="s">
        <v>235</v>
      </c>
      <c r="M18" s="37" t="s">
        <v>218</v>
      </c>
      <c r="N18" s="37" t="s">
        <v>219</v>
      </c>
    </row>
    <row r="19" customFormat="false" ht="21.75" hidden="false" customHeight="true" outlineLevel="0" collapsed="false">
      <c r="A19" s="31" t="s">
        <v>127</v>
      </c>
      <c r="B19" s="18" t="s">
        <v>128</v>
      </c>
      <c r="C19" s="18" t="s">
        <v>76</v>
      </c>
      <c r="D19" s="34" t="s">
        <v>158</v>
      </c>
      <c r="E19" s="34" t="s">
        <v>158</v>
      </c>
      <c r="F19" s="34" t="s">
        <v>158</v>
      </c>
      <c r="G19" s="34" t="s">
        <v>158</v>
      </c>
      <c r="H19" s="34" t="s">
        <v>158</v>
      </c>
      <c r="I19" s="34" t="s">
        <v>158</v>
      </c>
      <c r="J19" s="35" t="n">
        <v>3</v>
      </c>
      <c r="K19" s="44" t="s">
        <v>161</v>
      </c>
      <c r="L19" s="64" t="s">
        <v>237</v>
      </c>
      <c r="M19" s="44" t="s">
        <v>221</v>
      </c>
      <c r="N19" s="44" t="s">
        <v>222</v>
      </c>
    </row>
    <row r="20" customFormat="false" ht="21.75" hidden="false" customHeight="true" outlineLevel="0" collapsed="false">
      <c r="A20" s="39" t="s">
        <v>131</v>
      </c>
      <c r="B20" s="40" t="s">
        <v>132</v>
      </c>
      <c r="C20" s="40" t="s">
        <v>45</v>
      </c>
      <c r="D20" s="41" t="s">
        <v>160</v>
      </c>
      <c r="E20" s="41" t="s">
        <v>160</v>
      </c>
      <c r="F20" s="41" t="s">
        <v>160</v>
      </c>
      <c r="G20" s="41" t="s">
        <v>160</v>
      </c>
      <c r="H20" s="41" t="s">
        <v>160</v>
      </c>
      <c r="I20" s="34" t="s">
        <v>158</v>
      </c>
      <c r="J20" s="42" t="n">
        <v>2.2</v>
      </c>
      <c r="K20" s="47" t="s">
        <v>163</v>
      </c>
      <c r="L20" s="59" t="s">
        <v>238</v>
      </c>
      <c r="M20" s="47" t="s">
        <v>225</v>
      </c>
      <c r="N20" s="47" t="s">
        <v>226</v>
      </c>
    </row>
    <row r="21" customFormat="false" ht="21.75" hidden="false" customHeight="true" outlineLevel="0" collapsed="false">
      <c r="A21" s="31" t="s">
        <v>135</v>
      </c>
      <c r="B21" s="18" t="s">
        <v>136</v>
      </c>
      <c r="C21" s="18" t="s">
        <v>70</v>
      </c>
      <c r="D21" s="32" t="s">
        <v>156</v>
      </c>
      <c r="E21" s="32" t="s">
        <v>156</v>
      </c>
      <c r="F21" s="32" t="s">
        <v>156</v>
      </c>
      <c r="G21" s="32" t="s">
        <v>156</v>
      </c>
      <c r="H21" s="32" t="s">
        <v>156</v>
      </c>
      <c r="I21" s="32" t="s">
        <v>156</v>
      </c>
      <c r="J21" s="35" t="n">
        <v>5</v>
      </c>
      <c r="K21" s="37" t="s">
        <v>159</v>
      </c>
      <c r="L21" s="56" t="s">
        <v>228</v>
      </c>
      <c r="M21" s="37" t="s">
        <v>218</v>
      </c>
      <c r="N21" s="37" t="s">
        <v>219</v>
      </c>
    </row>
    <row r="22" customFormat="false" ht="21.75" hidden="false" customHeight="true" outlineLevel="0" collapsed="false">
      <c r="A22" s="39" t="s">
        <v>138</v>
      </c>
      <c r="B22" s="40" t="s">
        <v>139</v>
      </c>
      <c r="C22" s="40" t="s">
        <v>45</v>
      </c>
      <c r="D22" s="41" t="s">
        <v>160</v>
      </c>
      <c r="E22" s="41" t="s">
        <v>160</v>
      </c>
      <c r="F22" s="41" t="s">
        <v>160</v>
      </c>
      <c r="G22" s="41" t="s">
        <v>160</v>
      </c>
      <c r="H22" s="41" t="s">
        <v>160</v>
      </c>
      <c r="I22" s="41" t="s">
        <v>160</v>
      </c>
      <c r="J22" s="42" t="n">
        <v>2</v>
      </c>
      <c r="K22" s="47" t="s">
        <v>163</v>
      </c>
      <c r="L22" s="59" t="s">
        <v>239</v>
      </c>
      <c r="M22" s="47" t="s">
        <v>225</v>
      </c>
      <c r="N22" s="47" t="s">
        <v>226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28D9"/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11" min="7" style="0" width="12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55" t="s">
        <v>240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customFormat="false" ht="9.75" hidden="false" customHeight="true" outlineLevel="0" collapsed="false"/>
    <row r="3" customFormat="false" ht="13.5" hidden="false" customHeight="true" outlineLevel="0" collapsed="false">
      <c r="A3" s="66" t="s">
        <v>241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customFormat="false" ht="13.5" hidden="false" customHeight="true" outlineLevel="0" collapsed="false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customFormat="false" ht="13.5" hidden="false" customHeight="true" outlineLevel="0" collapsed="false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</row>
    <row r="6" customFormat="false" ht="9.75" hidden="false" customHeight="true" outlineLevel="0" collapsed="false"/>
    <row r="7" customFormat="false" ht="21.75" hidden="false" customHeight="true" outlineLevel="0" collapsed="false">
      <c r="A7" s="67" t="s">
        <v>242</v>
      </c>
      <c r="B7" s="67"/>
      <c r="C7" s="67"/>
      <c r="E7" s="68" t="s">
        <v>243</v>
      </c>
      <c r="F7" s="68"/>
      <c r="G7" s="68"/>
      <c r="H7" s="68"/>
      <c r="I7" s="68"/>
      <c r="J7" s="68"/>
      <c r="K7" s="68"/>
      <c r="L7" s="68"/>
    </row>
    <row r="8" customFormat="false" ht="39.75" hidden="false" customHeight="true" outlineLevel="0" collapsed="false">
      <c r="A8" s="69" t="s">
        <v>244</v>
      </c>
      <c r="B8" s="70" t="n">
        <v>1.5</v>
      </c>
      <c r="C8" s="71" t="s">
        <v>245</v>
      </c>
      <c r="E8" s="49" t="s">
        <v>25</v>
      </c>
      <c r="F8" s="49" t="s">
        <v>27</v>
      </c>
      <c r="G8" s="49" t="s">
        <v>246</v>
      </c>
      <c r="H8" s="49" t="s">
        <v>247</v>
      </c>
      <c r="I8" s="49" t="s">
        <v>248</v>
      </c>
      <c r="J8" s="49" t="s">
        <v>249</v>
      </c>
      <c r="K8" s="49" t="s">
        <v>214</v>
      </c>
      <c r="L8" s="49" t="s">
        <v>250</v>
      </c>
    </row>
    <row r="9" customFormat="false" ht="19.5" hidden="false" customHeight="true" outlineLevel="0" collapsed="false">
      <c r="A9" s="69" t="s">
        <v>251</v>
      </c>
      <c r="B9" s="70" t="n">
        <v>0.8</v>
      </c>
      <c r="C9" s="71" t="s">
        <v>252</v>
      </c>
      <c r="E9" s="18" t="s">
        <v>43</v>
      </c>
      <c r="F9" s="18" t="s">
        <v>45</v>
      </c>
      <c r="G9" s="19" t="n">
        <v>14.4</v>
      </c>
      <c r="H9" s="19" t="n">
        <v>4</v>
      </c>
      <c r="I9" s="19" t="n">
        <v>0.5</v>
      </c>
      <c r="J9" s="20" t="n">
        <v>0.965</v>
      </c>
      <c r="K9" s="72" t="s">
        <v>217</v>
      </c>
      <c r="L9" s="37" t="s">
        <v>253</v>
      </c>
    </row>
    <row r="10" customFormat="false" ht="19.5" hidden="false" customHeight="true" outlineLevel="0" collapsed="false">
      <c r="A10" s="69" t="s">
        <v>254</v>
      </c>
      <c r="B10" s="70" t="n">
        <v>2023</v>
      </c>
      <c r="C10" s="71" t="s">
        <v>255</v>
      </c>
      <c r="E10" s="40" t="s">
        <v>50</v>
      </c>
      <c r="F10" s="40" t="s">
        <v>45</v>
      </c>
      <c r="G10" s="73" t="n">
        <v>540</v>
      </c>
      <c r="H10" s="73" t="n">
        <v>180</v>
      </c>
      <c r="I10" s="73" t="n">
        <v>20</v>
      </c>
      <c r="J10" s="74" t="n">
        <v>0.963</v>
      </c>
      <c r="K10" s="75" t="s">
        <v>220</v>
      </c>
      <c r="L10" s="44" t="s">
        <v>256</v>
      </c>
    </row>
    <row r="11" customFormat="false" ht="19.5" hidden="false" customHeight="true" outlineLevel="0" collapsed="false">
      <c r="A11" s="69" t="s">
        <v>257</v>
      </c>
      <c r="B11" s="70" t="n">
        <v>2050</v>
      </c>
      <c r="C11" s="71" t="s">
        <v>258</v>
      </c>
      <c r="E11" s="18" t="s">
        <v>56</v>
      </c>
      <c r="F11" s="18" t="s">
        <v>45</v>
      </c>
      <c r="G11" s="19" t="n">
        <v>237</v>
      </c>
      <c r="H11" s="19" t="n">
        <v>90</v>
      </c>
      <c r="I11" s="19" t="n">
        <v>12</v>
      </c>
      <c r="J11" s="20" t="n">
        <v>0.949</v>
      </c>
      <c r="K11" s="76" t="s">
        <v>223</v>
      </c>
      <c r="L11" s="44" t="s">
        <v>256</v>
      </c>
    </row>
    <row r="12" customFormat="false" ht="19.5" hidden="false" customHeight="true" outlineLevel="0" collapsed="false">
      <c r="A12" s="69" t="s">
        <v>259</v>
      </c>
      <c r="B12" s="77" t="n">
        <v>0.035</v>
      </c>
      <c r="C12" s="71" t="s">
        <v>260</v>
      </c>
      <c r="E12" s="40" t="s">
        <v>62</v>
      </c>
      <c r="F12" s="40" t="s">
        <v>45</v>
      </c>
      <c r="G12" s="73" t="n">
        <v>1060</v>
      </c>
      <c r="H12" s="73" t="n">
        <v>600</v>
      </c>
      <c r="I12" s="73" t="n">
        <v>80</v>
      </c>
      <c r="J12" s="74" t="n">
        <v>0.925</v>
      </c>
      <c r="K12" s="78" t="s">
        <v>224</v>
      </c>
      <c r="L12" s="53" t="s">
        <v>261</v>
      </c>
    </row>
    <row r="13" customFormat="false" ht="19.5" hidden="false" customHeight="true" outlineLevel="0" collapsed="false">
      <c r="E13" s="18" t="s">
        <v>68</v>
      </c>
      <c r="F13" s="18" t="s">
        <v>70</v>
      </c>
      <c r="G13" s="19" t="n">
        <v>91</v>
      </c>
      <c r="H13" s="19" t="n">
        <v>30</v>
      </c>
      <c r="I13" s="19" t="n">
        <v>5</v>
      </c>
      <c r="J13" s="20" t="n">
        <v>0.945</v>
      </c>
      <c r="K13" s="79" t="s">
        <v>227</v>
      </c>
      <c r="L13" s="37" t="s">
        <v>253</v>
      </c>
    </row>
    <row r="14" customFormat="false" ht="19.5" hidden="false" customHeight="true" outlineLevel="0" collapsed="false">
      <c r="E14" s="40" t="s">
        <v>75</v>
      </c>
      <c r="F14" s="40" t="s">
        <v>76</v>
      </c>
      <c r="G14" s="73" t="n">
        <v>22</v>
      </c>
      <c r="H14" s="73" t="n">
        <v>8</v>
      </c>
      <c r="I14" s="73" t="n">
        <v>1</v>
      </c>
      <c r="J14" s="74" t="n">
        <v>0.955</v>
      </c>
      <c r="K14" s="80" t="s">
        <v>228</v>
      </c>
      <c r="L14" s="37" t="s">
        <v>253</v>
      </c>
    </row>
    <row r="15" customFormat="false" ht="19.5" hidden="false" customHeight="true" outlineLevel="0" collapsed="false">
      <c r="E15" s="18" t="s">
        <v>81</v>
      </c>
      <c r="F15" s="18" t="s">
        <v>76</v>
      </c>
      <c r="G15" s="19" t="n">
        <v>1520</v>
      </c>
      <c r="H15" s="19" t="n">
        <v>700</v>
      </c>
      <c r="I15" s="19" t="n">
        <v>120</v>
      </c>
      <c r="J15" s="20" t="n">
        <v>0.921</v>
      </c>
      <c r="K15" s="81" t="s">
        <v>229</v>
      </c>
      <c r="L15" s="47" t="s">
        <v>262</v>
      </c>
    </row>
    <row r="16" customFormat="false" ht="19.5" hidden="false" customHeight="true" outlineLevel="0" collapsed="false">
      <c r="E16" s="40" t="s">
        <v>86</v>
      </c>
      <c r="F16" s="40" t="s">
        <v>76</v>
      </c>
      <c r="G16" s="73" t="n">
        <v>2810</v>
      </c>
      <c r="H16" s="73" t="n">
        <v>1400</v>
      </c>
      <c r="I16" s="73" t="n">
        <v>200</v>
      </c>
      <c r="J16" s="74" t="n">
        <v>0.929</v>
      </c>
      <c r="K16" s="78" t="s">
        <v>230</v>
      </c>
      <c r="L16" s="47" t="s">
        <v>262</v>
      </c>
    </row>
    <row r="17" customFormat="false" ht="19.5" hidden="false" customHeight="true" outlineLevel="0" collapsed="false">
      <c r="E17" s="18" t="s">
        <v>92</v>
      </c>
      <c r="F17" s="18" t="s">
        <v>70</v>
      </c>
      <c r="G17" s="19" t="n">
        <v>50</v>
      </c>
      <c r="H17" s="19" t="n">
        <v>18</v>
      </c>
      <c r="I17" s="19" t="n">
        <v>3</v>
      </c>
      <c r="J17" s="20" t="n">
        <v>0.94</v>
      </c>
      <c r="K17" s="72" t="s">
        <v>217</v>
      </c>
      <c r="L17" s="37" t="s">
        <v>253</v>
      </c>
    </row>
    <row r="18" customFormat="false" ht="19.5" hidden="false" customHeight="true" outlineLevel="0" collapsed="false">
      <c r="E18" s="40" t="s">
        <v>96</v>
      </c>
      <c r="F18" s="40" t="s">
        <v>70</v>
      </c>
      <c r="G18" s="73" t="n">
        <v>100</v>
      </c>
      <c r="H18" s="73" t="n">
        <v>35</v>
      </c>
      <c r="I18" s="73" t="n">
        <v>5</v>
      </c>
      <c r="J18" s="74" t="n">
        <v>0.95</v>
      </c>
      <c r="K18" s="82" t="s">
        <v>231</v>
      </c>
      <c r="L18" s="37" t="s">
        <v>253</v>
      </c>
    </row>
    <row r="19" customFormat="false" ht="19.5" hidden="false" customHeight="true" outlineLevel="0" collapsed="false">
      <c r="E19" s="18" t="s">
        <v>102</v>
      </c>
      <c r="F19" s="18" t="s">
        <v>45</v>
      </c>
      <c r="G19" s="19" t="n">
        <v>271</v>
      </c>
      <c r="H19" s="19" t="n">
        <v>100</v>
      </c>
      <c r="I19" s="19" t="n">
        <v>15</v>
      </c>
      <c r="J19" s="20" t="n">
        <v>0.945</v>
      </c>
      <c r="K19" s="83" t="s">
        <v>232</v>
      </c>
      <c r="L19" s="44" t="s">
        <v>256</v>
      </c>
    </row>
    <row r="20" customFormat="false" ht="19.5" hidden="false" customHeight="true" outlineLevel="0" collapsed="false">
      <c r="E20" s="40" t="s">
        <v>106</v>
      </c>
      <c r="F20" s="40" t="s">
        <v>76</v>
      </c>
      <c r="G20" s="73" t="n">
        <v>62</v>
      </c>
      <c r="H20" s="73" t="n">
        <v>22</v>
      </c>
      <c r="I20" s="73" t="n">
        <v>4</v>
      </c>
      <c r="J20" s="74" t="n">
        <v>0.935</v>
      </c>
      <c r="K20" s="84" t="s">
        <v>233</v>
      </c>
      <c r="L20" s="44" t="s">
        <v>256</v>
      </c>
    </row>
    <row r="21" customFormat="false" ht="19.5" hidden="false" customHeight="true" outlineLevel="0" collapsed="false">
      <c r="E21" s="18" t="s">
        <v>110</v>
      </c>
      <c r="F21" s="18" t="s">
        <v>76</v>
      </c>
      <c r="G21" s="19" t="n">
        <v>2818</v>
      </c>
      <c r="H21" s="19" t="n">
        <v>1600</v>
      </c>
      <c r="I21" s="19" t="n">
        <v>250</v>
      </c>
      <c r="J21" s="20" t="n">
        <v>0.911</v>
      </c>
      <c r="K21" s="81" t="s">
        <v>234</v>
      </c>
      <c r="L21" s="47" t="s">
        <v>262</v>
      </c>
    </row>
    <row r="22" customFormat="false" ht="19.5" hidden="false" customHeight="true" outlineLevel="0" collapsed="false">
      <c r="E22" s="40" t="s">
        <v>114</v>
      </c>
      <c r="F22" s="40" t="s">
        <v>45</v>
      </c>
      <c r="G22" s="73" t="n">
        <v>136</v>
      </c>
      <c r="H22" s="73" t="n">
        <v>45</v>
      </c>
      <c r="I22" s="73" t="n">
        <v>6</v>
      </c>
      <c r="J22" s="74" t="n">
        <v>0.956</v>
      </c>
      <c r="K22" s="82" t="s">
        <v>235</v>
      </c>
      <c r="L22" s="37" t="s">
        <v>253</v>
      </c>
    </row>
    <row r="23" customFormat="false" ht="19.5" hidden="false" customHeight="true" outlineLevel="0" collapsed="false">
      <c r="E23" s="18" t="s">
        <v>120</v>
      </c>
      <c r="F23" s="18" t="s">
        <v>76</v>
      </c>
      <c r="G23" s="19" t="n">
        <v>1150</v>
      </c>
      <c r="H23" s="19" t="n">
        <v>550</v>
      </c>
      <c r="I23" s="19" t="n">
        <v>90</v>
      </c>
      <c r="J23" s="20" t="n">
        <v>0.922</v>
      </c>
      <c r="K23" s="81" t="s">
        <v>236</v>
      </c>
      <c r="L23" s="47" t="s">
        <v>262</v>
      </c>
    </row>
    <row r="24" customFormat="false" ht="19.5" hidden="false" customHeight="true" outlineLevel="0" collapsed="false">
      <c r="E24" s="40" t="s">
        <v>124</v>
      </c>
      <c r="F24" s="40" t="s">
        <v>70</v>
      </c>
      <c r="G24" s="73" t="n">
        <v>10</v>
      </c>
      <c r="H24" s="73" t="n">
        <v>3</v>
      </c>
      <c r="I24" s="73" t="n">
        <v>0.5</v>
      </c>
      <c r="J24" s="74" t="n">
        <v>0.95</v>
      </c>
      <c r="K24" s="82" t="s">
        <v>235</v>
      </c>
      <c r="L24" s="37" t="s">
        <v>253</v>
      </c>
    </row>
    <row r="25" customFormat="false" ht="19.5" hidden="false" customHeight="true" outlineLevel="0" collapsed="false">
      <c r="E25" s="18" t="s">
        <v>128</v>
      </c>
      <c r="F25" s="18" t="s">
        <v>76</v>
      </c>
      <c r="G25" s="19" t="n">
        <v>293</v>
      </c>
      <c r="H25" s="19" t="n">
        <v>110</v>
      </c>
      <c r="I25" s="19" t="n">
        <v>18</v>
      </c>
      <c r="J25" s="20" t="n">
        <v>0.938</v>
      </c>
      <c r="K25" s="83" t="s">
        <v>237</v>
      </c>
      <c r="L25" s="44" t="s">
        <v>256</v>
      </c>
    </row>
    <row r="26" customFormat="false" ht="19.5" hidden="false" customHeight="true" outlineLevel="0" collapsed="false">
      <c r="E26" s="40" t="s">
        <v>132</v>
      </c>
      <c r="F26" s="40" t="s">
        <v>45</v>
      </c>
      <c r="G26" s="73" t="n">
        <v>245</v>
      </c>
      <c r="H26" s="73" t="n">
        <v>110</v>
      </c>
      <c r="I26" s="73" t="n">
        <v>20</v>
      </c>
      <c r="J26" s="74" t="n">
        <v>0.918</v>
      </c>
      <c r="K26" s="78" t="s">
        <v>238</v>
      </c>
      <c r="L26" s="47" t="s">
        <v>262</v>
      </c>
    </row>
    <row r="27" customFormat="false" ht="19.5" hidden="false" customHeight="true" outlineLevel="0" collapsed="false">
      <c r="E27" s="18" t="s">
        <v>136</v>
      </c>
      <c r="F27" s="18" t="s">
        <v>70</v>
      </c>
      <c r="G27" s="19" t="n">
        <v>47</v>
      </c>
      <c r="H27" s="19" t="n">
        <v>14</v>
      </c>
      <c r="I27" s="19" t="n">
        <v>2</v>
      </c>
      <c r="J27" s="20" t="n">
        <v>0.957</v>
      </c>
      <c r="K27" s="72" t="s">
        <v>228</v>
      </c>
      <c r="L27" s="37" t="s">
        <v>253</v>
      </c>
    </row>
    <row r="28" customFormat="false" ht="19.5" hidden="false" customHeight="true" outlineLevel="0" collapsed="false">
      <c r="E28" s="40" t="s">
        <v>139</v>
      </c>
      <c r="F28" s="40" t="s">
        <v>45</v>
      </c>
      <c r="G28" s="73" t="n">
        <v>285</v>
      </c>
      <c r="H28" s="73" t="n">
        <v>120</v>
      </c>
      <c r="I28" s="73" t="n">
        <v>22</v>
      </c>
      <c r="J28" s="74" t="n">
        <v>0.923</v>
      </c>
      <c r="K28" s="78" t="s">
        <v>239</v>
      </c>
      <c r="L28" s="47" t="s">
        <v>262</v>
      </c>
    </row>
  </sheetData>
  <mergeCells count="4">
    <mergeCell ref="A1:L1"/>
    <mergeCell ref="A3:L5"/>
    <mergeCell ref="A7:C7"/>
    <mergeCell ref="E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9B3A"/>
    <pageSetUpPr fitToPage="false"/>
  </sheetPr>
  <dimension ref="A1:P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5" min="9" style="0" width="12"/>
    <col collapsed="false" customWidth="true" hidden="false" outlineLevel="0" max="16" min="16" style="0" width="1.51"/>
  </cols>
  <sheetData>
    <row r="1" customFormat="false" ht="36" hidden="false" customHeight="true" outlineLevel="0" collapsed="false">
      <c r="A1" s="85" t="s">
        <v>263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customFormat="false" ht="9.75" hidden="false" customHeight="true" outlineLevel="0" collapsed="false"/>
    <row r="3" customFormat="false" ht="37.5" hidden="false" customHeight="true" outlineLevel="0" collapsed="false">
      <c r="B3" s="86" t="s">
        <v>264</v>
      </c>
      <c r="C3" s="87" t="s">
        <v>265</v>
      </c>
      <c r="D3" s="88" t="s">
        <v>266</v>
      </c>
      <c r="E3" s="89" t="s">
        <v>267</v>
      </c>
      <c r="F3" s="90" t="s">
        <v>268</v>
      </c>
      <c r="G3" s="91" t="s">
        <v>232</v>
      </c>
      <c r="H3" s="87" t="s">
        <v>269</v>
      </c>
      <c r="N3" s="92" t="s">
        <v>270</v>
      </c>
      <c r="O3" s="92" t="s">
        <v>271</v>
      </c>
    </row>
    <row r="4" customFormat="false" ht="21.75" hidden="false" customHeight="true" outlineLevel="0" collapsed="false">
      <c r="B4" s="93" t="s">
        <v>272</v>
      </c>
      <c r="C4" s="94" t="s">
        <v>273</v>
      </c>
      <c r="D4" s="95" t="s">
        <v>274</v>
      </c>
      <c r="E4" s="96" t="s">
        <v>275</v>
      </c>
      <c r="F4" s="97" t="s">
        <v>276</v>
      </c>
      <c r="G4" s="98" t="s">
        <v>277</v>
      </c>
      <c r="H4" s="94" t="s">
        <v>278</v>
      </c>
      <c r="N4" s="92" t="s">
        <v>159</v>
      </c>
      <c r="O4" s="92" t="n">
        <v>9</v>
      </c>
    </row>
    <row r="5" customFormat="false" ht="13.5" hidden="false" customHeight="true" outlineLevel="0" collapsed="false">
      <c r="N5" s="92" t="s">
        <v>161</v>
      </c>
      <c r="O5" s="92" t="n">
        <v>5</v>
      </c>
    </row>
    <row r="6" customFormat="false" ht="15" hidden="false" customHeight="false" outlineLevel="0" collapsed="false">
      <c r="N6" s="92" t="s">
        <v>163</v>
      </c>
      <c r="O6" s="92" t="n">
        <v>6</v>
      </c>
    </row>
    <row r="7" customFormat="false" ht="15" hidden="false" customHeight="false" outlineLevel="0" collapsed="false">
      <c r="N7" s="92"/>
      <c r="O7" s="92"/>
    </row>
    <row r="8" customFormat="false" ht="15" hidden="false" customHeight="false" outlineLevel="0" collapsed="false">
      <c r="N8" s="92" t="s">
        <v>279</v>
      </c>
      <c r="O8" s="92" t="s">
        <v>280</v>
      </c>
    </row>
    <row r="9" customFormat="false" ht="15" hidden="false" customHeight="false" outlineLevel="0" collapsed="false">
      <c r="N9" s="92" t="s">
        <v>281</v>
      </c>
      <c r="O9" s="92" t="n">
        <v>9</v>
      </c>
    </row>
    <row r="10" customFormat="false" ht="15" hidden="false" customHeight="false" outlineLevel="0" collapsed="false">
      <c r="N10" s="92" t="s">
        <v>282</v>
      </c>
      <c r="O10" s="92" t="n">
        <v>5</v>
      </c>
    </row>
    <row r="11" customFormat="false" ht="15" hidden="false" customHeight="false" outlineLevel="0" collapsed="false">
      <c r="N11" s="92" t="s">
        <v>283</v>
      </c>
      <c r="O11" s="92" t="n">
        <v>6</v>
      </c>
    </row>
    <row r="12" customFormat="false" ht="15" hidden="false" customHeight="false" outlineLevel="0" collapsed="false">
      <c r="N12" s="92"/>
      <c r="O12" s="92"/>
    </row>
    <row r="13" customFormat="false" ht="15" hidden="false" customHeight="false" outlineLevel="0" collapsed="false">
      <c r="N13" s="92" t="s">
        <v>284</v>
      </c>
      <c r="O13" s="92" t="s">
        <v>271</v>
      </c>
    </row>
    <row r="14" customFormat="false" ht="15" hidden="false" customHeight="false" outlineLevel="0" collapsed="false">
      <c r="N14" s="92" t="s">
        <v>180</v>
      </c>
      <c r="O14" s="92" t="n">
        <v>9</v>
      </c>
    </row>
    <row r="15" customFormat="false" ht="15" hidden="false" customHeight="false" outlineLevel="0" collapsed="false">
      <c r="N15" s="92" t="s">
        <v>285</v>
      </c>
      <c r="O15" s="92" t="n">
        <v>6</v>
      </c>
    </row>
    <row r="16" customFormat="false" ht="15" hidden="false" customHeight="false" outlineLevel="0" collapsed="false">
      <c r="N16" s="92" t="s">
        <v>190</v>
      </c>
      <c r="O16" s="92" t="n">
        <v>2</v>
      </c>
    </row>
    <row r="17" customFormat="false" ht="15" hidden="false" customHeight="false" outlineLevel="0" collapsed="false">
      <c r="N17" s="92" t="s">
        <v>193</v>
      </c>
      <c r="O17" s="92" t="n">
        <v>3</v>
      </c>
    </row>
    <row r="18" customFormat="false" ht="15" hidden="false" customHeight="false" outlineLevel="0" collapsed="false">
      <c r="N18" s="92"/>
      <c r="O18" s="92"/>
    </row>
    <row r="19" customFormat="false" ht="15" hidden="false" customHeight="false" outlineLevel="0" collapsed="false">
      <c r="N19" s="92" t="s">
        <v>27</v>
      </c>
      <c r="O19" s="92" t="s">
        <v>280</v>
      </c>
    </row>
    <row r="20" customFormat="false" ht="15" hidden="false" customHeight="false" outlineLevel="0" collapsed="false">
      <c r="N20" s="92" t="s">
        <v>45</v>
      </c>
      <c r="O20" s="92" t="n">
        <v>8</v>
      </c>
    </row>
    <row r="21" customFormat="false" ht="15" hidden="false" customHeight="false" outlineLevel="0" collapsed="false">
      <c r="N21" s="92" t="s">
        <v>70</v>
      </c>
      <c r="O21" s="92" t="n">
        <v>6</v>
      </c>
    </row>
    <row r="22" customFormat="false" ht="15" hidden="false" customHeight="false" outlineLevel="0" collapsed="false">
      <c r="N22" s="92" t="s">
        <v>76</v>
      </c>
      <c r="O22" s="92" t="n">
        <v>6</v>
      </c>
    </row>
    <row r="47" customFormat="false" ht="9.75" hidden="false" customHeight="true" outlineLevel="0" collapsed="false"/>
    <row r="48" customFormat="false" ht="27.75" hidden="false" customHeight="true" outlineLevel="0" collapsed="false">
      <c r="B48" s="99" t="s">
        <v>286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</row>
    <row r="49" customFormat="false" ht="31.5" hidden="false" customHeight="true" outlineLevel="0" collapsed="false">
      <c r="B49" s="49" t="s">
        <v>25</v>
      </c>
      <c r="C49" s="49" t="s">
        <v>287</v>
      </c>
      <c r="D49" s="49" t="s">
        <v>288</v>
      </c>
      <c r="E49" s="49" t="s">
        <v>213</v>
      </c>
      <c r="F49" s="49" t="s">
        <v>289</v>
      </c>
      <c r="G49" s="49" t="s">
        <v>284</v>
      </c>
      <c r="H49" s="49" t="s">
        <v>290</v>
      </c>
    </row>
    <row r="50" customFormat="false" ht="19.5" hidden="false" customHeight="true" outlineLevel="0" collapsed="false">
      <c r="B50" s="100" t="s">
        <v>43</v>
      </c>
      <c r="C50" s="37" t="s">
        <v>159</v>
      </c>
      <c r="D50" s="37" t="s">
        <v>179</v>
      </c>
      <c r="E50" s="37" t="s">
        <v>159</v>
      </c>
      <c r="F50" s="56" t="s">
        <v>217</v>
      </c>
      <c r="G50" s="37" t="s">
        <v>180</v>
      </c>
      <c r="H50" s="37" t="s">
        <v>219</v>
      </c>
    </row>
    <row r="51" customFormat="false" ht="19.5" hidden="false" customHeight="true" outlineLevel="0" collapsed="false">
      <c r="B51" s="101" t="s">
        <v>50</v>
      </c>
      <c r="C51" s="44" t="s">
        <v>161</v>
      </c>
      <c r="D51" s="44" t="s">
        <v>184</v>
      </c>
      <c r="E51" s="44" t="s">
        <v>161</v>
      </c>
      <c r="F51" s="57" t="s">
        <v>220</v>
      </c>
      <c r="G51" s="50" t="s">
        <v>285</v>
      </c>
      <c r="H51" s="44" t="s">
        <v>222</v>
      </c>
    </row>
    <row r="52" customFormat="false" ht="19.5" hidden="false" customHeight="true" outlineLevel="0" collapsed="false">
      <c r="B52" s="100" t="s">
        <v>56</v>
      </c>
      <c r="C52" s="44" t="s">
        <v>161</v>
      </c>
      <c r="D52" s="54" t="s">
        <v>189</v>
      </c>
      <c r="E52" s="44" t="s">
        <v>161</v>
      </c>
      <c r="F52" s="58" t="s">
        <v>223</v>
      </c>
      <c r="G52" s="51" t="s">
        <v>190</v>
      </c>
      <c r="H52" s="44" t="s">
        <v>222</v>
      </c>
    </row>
    <row r="53" customFormat="false" ht="19.5" hidden="false" customHeight="true" outlineLevel="0" collapsed="false">
      <c r="B53" s="101" t="s">
        <v>62</v>
      </c>
      <c r="C53" s="47" t="s">
        <v>163</v>
      </c>
      <c r="D53" s="47" t="s">
        <v>192</v>
      </c>
      <c r="E53" s="47" t="s">
        <v>163</v>
      </c>
      <c r="F53" s="59" t="s">
        <v>224</v>
      </c>
      <c r="G53" s="52" t="s">
        <v>193</v>
      </c>
      <c r="H53" s="47" t="s">
        <v>226</v>
      </c>
    </row>
    <row r="54" customFormat="false" ht="19.5" hidden="false" customHeight="true" outlineLevel="0" collapsed="false">
      <c r="B54" s="100" t="s">
        <v>75</v>
      </c>
      <c r="C54" s="37" t="s">
        <v>159</v>
      </c>
      <c r="D54" s="37" t="s">
        <v>179</v>
      </c>
      <c r="E54" s="37" t="s">
        <v>159</v>
      </c>
      <c r="F54" s="56" t="s">
        <v>228</v>
      </c>
      <c r="G54" s="37" t="s">
        <v>180</v>
      </c>
      <c r="H54" s="37" t="s">
        <v>219</v>
      </c>
    </row>
    <row r="55" customFormat="false" ht="19.5" hidden="false" customHeight="true" outlineLevel="0" collapsed="false">
      <c r="B55" s="101" t="s">
        <v>81</v>
      </c>
      <c r="C55" s="47" t="s">
        <v>163</v>
      </c>
      <c r="D55" s="47" t="s">
        <v>192</v>
      </c>
      <c r="E55" s="47" t="s">
        <v>163</v>
      </c>
      <c r="F55" s="59" t="s">
        <v>229</v>
      </c>
      <c r="G55" s="50" t="s">
        <v>285</v>
      </c>
      <c r="H55" s="47" t="s">
        <v>226</v>
      </c>
    </row>
    <row r="56" customFormat="false" ht="19.5" hidden="false" customHeight="true" outlineLevel="0" collapsed="false">
      <c r="B56" s="100" t="s">
        <v>86</v>
      </c>
      <c r="C56" s="47" t="s">
        <v>163</v>
      </c>
      <c r="D56" s="47" t="s">
        <v>192</v>
      </c>
      <c r="E56" s="47" t="s">
        <v>163</v>
      </c>
      <c r="F56" s="62" t="s">
        <v>230</v>
      </c>
      <c r="G56" s="17" t="s">
        <v>285</v>
      </c>
      <c r="H56" s="47" t="s">
        <v>226</v>
      </c>
    </row>
    <row r="57" customFormat="false" ht="19.5" hidden="false" customHeight="true" outlineLevel="0" collapsed="false">
      <c r="B57" s="101" t="s">
        <v>92</v>
      </c>
      <c r="C57" s="37" t="s">
        <v>159</v>
      </c>
      <c r="D57" s="37" t="s">
        <v>179</v>
      </c>
      <c r="E57" s="37" t="s">
        <v>159</v>
      </c>
      <c r="F57" s="61" t="s">
        <v>217</v>
      </c>
      <c r="G57" s="37" t="s">
        <v>180</v>
      </c>
      <c r="H57" s="37" t="s">
        <v>219</v>
      </c>
    </row>
    <row r="58" customFormat="false" ht="19.5" hidden="false" customHeight="true" outlineLevel="0" collapsed="false">
      <c r="B58" s="100" t="s">
        <v>96</v>
      </c>
      <c r="C58" s="37" t="s">
        <v>159</v>
      </c>
      <c r="D58" s="54" t="s">
        <v>189</v>
      </c>
      <c r="E58" s="37" t="s">
        <v>159</v>
      </c>
      <c r="F58" s="60" t="s">
        <v>231</v>
      </c>
      <c r="G58" s="37" t="s">
        <v>180</v>
      </c>
      <c r="H58" s="37" t="s">
        <v>219</v>
      </c>
    </row>
    <row r="59" customFormat="false" ht="19.5" hidden="false" customHeight="true" outlineLevel="0" collapsed="false">
      <c r="B59" s="101" t="s">
        <v>114</v>
      </c>
      <c r="C59" s="37" t="s">
        <v>159</v>
      </c>
      <c r="D59" s="37" t="s">
        <v>179</v>
      </c>
      <c r="E59" s="37" t="s">
        <v>159</v>
      </c>
      <c r="F59" s="63" t="s">
        <v>235</v>
      </c>
      <c r="G59" s="37" t="s">
        <v>180</v>
      </c>
      <c r="H59" s="37" t="s">
        <v>219</v>
      </c>
    </row>
  </sheetData>
  <mergeCells count="2">
    <mergeCell ref="A1:P1"/>
    <mergeCell ref="B48:M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2026-03-24T16:43:46Z</dcterms:created>
  <dc:creator>openpyxl</dc:creator>
  <dc:description/>
  <dc:language>en-US</dc:language>
  <cp:lastModifiedBy/>
  <dcterms:modified xsi:type="dcterms:W3CDTF">2026-03-24T16:43:55Z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